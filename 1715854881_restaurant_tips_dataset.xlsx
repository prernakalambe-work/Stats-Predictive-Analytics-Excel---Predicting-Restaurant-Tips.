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\1. SimpliLearn\Excel\Project Material\Project 2\Project 2 source file\"/>
    </mc:Choice>
  </mc:AlternateContent>
  <xr:revisionPtr revIDLastSave="0" documentId="13_ncr:1_{4BAE03EB-1249-40FD-BBD2-65A63FED1A30}" xr6:coauthVersionLast="47" xr6:coauthVersionMax="47" xr10:uidLastSave="{00000000-0000-0000-0000-000000000000}"/>
  <bookViews>
    <workbookView xWindow="-108" yWindow="-108" windowWidth="23256" windowHeight="12456" xr2:uid="{E39F1B53-3127-4D6C-88BD-079CCE5E8692}"/>
  </bookViews>
  <sheets>
    <sheet name="tips" sheetId="1" r:id="rId1"/>
    <sheet name="input ran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N3" i="1"/>
  <c r="M50" i="1"/>
  <c r="L50" i="1"/>
  <c r="Q32" i="1"/>
  <c r="F2" i="1"/>
  <c r="N32" i="1"/>
  <c r="M13" i="1"/>
  <c r="N13" i="1" s="1"/>
  <c r="M14" i="1"/>
  <c r="N14" i="1" s="1"/>
  <c r="M15" i="1"/>
  <c r="N15" i="1" s="1"/>
  <c r="M16" i="1"/>
  <c r="N16" i="1" s="1"/>
  <c r="M29" i="1"/>
  <c r="N29" i="1" s="1"/>
  <c r="M30" i="1"/>
  <c r="N30" i="1" s="1"/>
  <c r="M31" i="1"/>
  <c r="N31" i="1" s="1"/>
  <c r="M32" i="1"/>
  <c r="M45" i="1"/>
  <c r="N45" i="1" s="1"/>
  <c r="M46" i="1"/>
  <c r="N46" i="1" s="1"/>
  <c r="M47" i="1"/>
  <c r="N47" i="1" s="1"/>
  <c r="M48" i="1"/>
  <c r="N48" i="1" s="1"/>
  <c r="M61" i="1"/>
  <c r="N61" i="1" s="1"/>
  <c r="M62" i="1"/>
  <c r="N62" i="1" s="1"/>
  <c r="M63" i="1"/>
  <c r="N63" i="1" s="1"/>
  <c r="M64" i="1"/>
  <c r="N64" i="1" s="1"/>
  <c r="M77" i="1"/>
  <c r="N77" i="1" s="1"/>
  <c r="M78" i="1"/>
  <c r="N78" i="1" s="1"/>
  <c r="M79" i="1"/>
  <c r="N79" i="1" s="1"/>
  <c r="M80" i="1"/>
  <c r="N80" i="1" s="1"/>
  <c r="M93" i="1"/>
  <c r="N93" i="1" s="1"/>
  <c r="M94" i="1"/>
  <c r="N94" i="1" s="1"/>
  <c r="M95" i="1"/>
  <c r="N95" i="1" s="1"/>
  <c r="M96" i="1"/>
  <c r="N96" i="1" s="1"/>
  <c r="M109" i="1"/>
  <c r="N109" i="1" s="1"/>
  <c r="M110" i="1"/>
  <c r="N110" i="1" s="1"/>
  <c r="M111" i="1"/>
  <c r="N111" i="1" s="1"/>
  <c r="M112" i="1"/>
  <c r="N112" i="1" s="1"/>
  <c r="M125" i="1"/>
  <c r="N125" i="1" s="1"/>
  <c r="M126" i="1"/>
  <c r="N126" i="1" s="1"/>
  <c r="M127" i="1"/>
  <c r="N127" i="1" s="1"/>
  <c r="M128" i="1"/>
  <c r="N128" i="1" s="1"/>
  <c r="M141" i="1"/>
  <c r="N141" i="1" s="1"/>
  <c r="M142" i="1"/>
  <c r="N142" i="1" s="1"/>
  <c r="M143" i="1"/>
  <c r="N143" i="1" s="1"/>
  <c r="M144" i="1"/>
  <c r="N144" i="1" s="1"/>
  <c r="M157" i="1"/>
  <c r="N157" i="1" s="1"/>
  <c r="M158" i="1"/>
  <c r="N158" i="1" s="1"/>
  <c r="M159" i="1"/>
  <c r="N159" i="1" s="1"/>
  <c r="M160" i="1"/>
  <c r="N160" i="1" s="1"/>
  <c r="M173" i="1"/>
  <c r="N173" i="1" s="1"/>
  <c r="M174" i="1"/>
  <c r="N174" i="1" s="1"/>
  <c r="M175" i="1"/>
  <c r="N175" i="1" s="1"/>
  <c r="M176" i="1"/>
  <c r="N176" i="1" s="1"/>
  <c r="M189" i="1"/>
  <c r="N189" i="1" s="1"/>
  <c r="M190" i="1"/>
  <c r="N190" i="1" s="1"/>
  <c r="M191" i="1"/>
  <c r="N191" i="1" s="1"/>
  <c r="M192" i="1"/>
  <c r="N192" i="1" s="1"/>
  <c r="M205" i="1"/>
  <c r="N205" i="1" s="1"/>
  <c r="M206" i="1"/>
  <c r="N206" i="1" s="1"/>
  <c r="M207" i="1"/>
  <c r="N207" i="1" s="1"/>
  <c r="M208" i="1"/>
  <c r="N208" i="1" s="1"/>
  <c r="M221" i="1"/>
  <c r="N221" i="1" s="1"/>
  <c r="M222" i="1"/>
  <c r="N222" i="1" s="1"/>
  <c r="M223" i="1"/>
  <c r="N223" i="1" s="1"/>
  <c r="M224" i="1"/>
  <c r="N224" i="1" s="1"/>
  <c r="M237" i="1"/>
  <c r="N237" i="1" s="1"/>
  <c r="M238" i="1"/>
  <c r="N238" i="1" s="1"/>
  <c r="M239" i="1"/>
  <c r="N239" i="1" s="1"/>
  <c r="M240" i="1"/>
  <c r="N240" i="1" s="1"/>
  <c r="L16" i="1"/>
  <c r="L17" i="1"/>
  <c r="M17" i="1" s="1"/>
  <c r="N17" i="1" s="1"/>
  <c r="L32" i="1"/>
  <c r="L33" i="1"/>
  <c r="M33" i="1" s="1"/>
  <c r="N33" i="1" s="1"/>
  <c r="L48" i="1"/>
  <c r="L49" i="1"/>
  <c r="M49" i="1" s="1"/>
  <c r="N49" i="1" s="1"/>
  <c r="L65" i="1"/>
  <c r="M65" i="1" s="1"/>
  <c r="N65" i="1" s="1"/>
  <c r="L66" i="1"/>
  <c r="M66" i="1" s="1"/>
  <c r="N66" i="1" s="1"/>
  <c r="L81" i="1"/>
  <c r="M81" i="1" s="1"/>
  <c r="N81" i="1" s="1"/>
  <c r="L82" i="1"/>
  <c r="M82" i="1" s="1"/>
  <c r="N82" i="1" s="1"/>
  <c r="L97" i="1"/>
  <c r="M97" i="1" s="1"/>
  <c r="N97" i="1" s="1"/>
  <c r="L98" i="1"/>
  <c r="M98" i="1" s="1"/>
  <c r="N98" i="1" s="1"/>
  <c r="L113" i="1"/>
  <c r="M113" i="1" s="1"/>
  <c r="N113" i="1" s="1"/>
  <c r="L114" i="1"/>
  <c r="M114" i="1" s="1"/>
  <c r="N114" i="1" s="1"/>
  <c r="L129" i="1"/>
  <c r="M129" i="1" s="1"/>
  <c r="N129" i="1" s="1"/>
  <c r="L130" i="1"/>
  <c r="M130" i="1" s="1"/>
  <c r="N130" i="1" s="1"/>
  <c r="L145" i="1"/>
  <c r="M145" i="1" s="1"/>
  <c r="N145" i="1" s="1"/>
  <c r="L146" i="1"/>
  <c r="M146" i="1" s="1"/>
  <c r="N146" i="1" s="1"/>
  <c r="L161" i="1"/>
  <c r="M161" i="1" s="1"/>
  <c r="N161" i="1" s="1"/>
  <c r="L162" i="1"/>
  <c r="M162" i="1" s="1"/>
  <c r="N162" i="1" s="1"/>
  <c r="L177" i="1"/>
  <c r="M177" i="1" s="1"/>
  <c r="N177" i="1" s="1"/>
  <c r="L178" i="1"/>
  <c r="M178" i="1" s="1"/>
  <c r="N178" i="1" s="1"/>
  <c r="L193" i="1"/>
  <c r="M193" i="1" s="1"/>
  <c r="N193" i="1" s="1"/>
  <c r="L194" i="1"/>
  <c r="M194" i="1" s="1"/>
  <c r="N194" i="1" s="1"/>
  <c r="L209" i="1"/>
  <c r="M209" i="1" s="1"/>
  <c r="N209" i="1" s="1"/>
  <c r="L210" i="1"/>
  <c r="M210" i="1" s="1"/>
  <c r="N210" i="1" s="1"/>
  <c r="L225" i="1"/>
  <c r="M225" i="1" s="1"/>
  <c r="N225" i="1" s="1"/>
  <c r="L226" i="1"/>
  <c r="M226" i="1" s="1"/>
  <c r="N226" i="1" s="1"/>
  <c r="L241" i="1"/>
  <c r="M241" i="1" s="1"/>
  <c r="N241" i="1" s="1"/>
  <c r="L242" i="1"/>
  <c r="M242" i="1" s="1"/>
  <c r="N242" i="1" s="1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H2" i="1"/>
  <c r="D2" i="1"/>
  <c r="B2" i="1"/>
  <c r="B4" i="1"/>
  <c r="L4" i="1" s="1"/>
  <c r="M4" i="1" s="1"/>
  <c r="N4" i="1" s="1"/>
  <c r="F23" i="1"/>
  <c r="D8" i="1"/>
  <c r="Q37" i="1"/>
  <c r="Q3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D3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B3" i="1"/>
  <c r="L3" i="1" s="1"/>
  <c r="M3" i="1" s="1"/>
  <c r="B5" i="1"/>
  <c r="L5" i="1" s="1"/>
  <c r="M5" i="1" s="1"/>
  <c r="N5" i="1" s="1"/>
  <c r="B6" i="1"/>
  <c r="L6" i="1" s="1"/>
  <c r="M6" i="1" s="1"/>
  <c r="N6" i="1" s="1"/>
  <c r="B7" i="1"/>
  <c r="L7" i="1" s="1"/>
  <c r="M7" i="1" s="1"/>
  <c r="N7" i="1" s="1"/>
  <c r="B8" i="1"/>
  <c r="L8" i="1" s="1"/>
  <c r="M8" i="1" s="1"/>
  <c r="N8" i="1" s="1"/>
  <c r="B9" i="1"/>
  <c r="L9" i="1" s="1"/>
  <c r="M9" i="1" s="1"/>
  <c r="N9" i="1" s="1"/>
  <c r="B10" i="1"/>
  <c r="L10" i="1" s="1"/>
  <c r="M10" i="1" s="1"/>
  <c r="N10" i="1" s="1"/>
  <c r="B11" i="1"/>
  <c r="L11" i="1" s="1"/>
  <c r="M11" i="1" s="1"/>
  <c r="N11" i="1" s="1"/>
  <c r="B12" i="1"/>
  <c r="L12" i="1" s="1"/>
  <c r="M12" i="1" s="1"/>
  <c r="N12" i="1" s="1"/>
  <c r="B13" i="1"/>
  <c r="L13" i="1" s="1"/>
  <c r="B14" i="1"/>
  <c r="L14" i="1" s="1"/>
  <c r="B15" i="1"/>
  <c r="L15" i="1" s="1"/>
  <c r="B16" i="1"/>
  <c r="B17" i="1"/>
  <c r="B18" i="1"/>
  <c r="L18" i="1" s="1"/>
  <c r="M18" i="1" s="1"/>
  <c r="N18" i="1" s="1"/>
  <c r="B19" i="1"/>
  <c r="L19" i="1" s="1"/>
  <c r="M19" i="1" s="1"/>
  <c r="N19" i="1" s="1"/>
  <c r="B20" i="1"/>
  <c r="L20" i="1" s="1"/>
  <c r="M20" i="1" s="1"/>
  <c r="N20" i="1" s="1"/>
  <c r="B21" i="1"/>
  <c r="L21" i="1" s="1"/>
  <c r="M21" i="1" s="1"/>
  <c r="N21" i="1" s="1"/>
  <c r="B22" i="1"/>
  <c r="L22" i="1" s="1"/>
  <c r="M22" i="1" s="1"/>
  <c r="N22" i="1" s="1"/>
  <c r="B23" i="1"/>
  <c r="L23" i="1" s="1"/>
  <c r="M23" i="1" s="1"/>
  <c r="N23" i="1" s="1"/>
  <c r="B24" i="1"/>
  <c r="L24" i="1" s="1"/>
  <c r="M24" i="1" s="1"/>
  <c r="N24" i="1" s="1"/>
  <c r="B25" i="1"/>
  <c r="L25" i="1" s="1"/>
  <c r="M25" i="1" s="1"/>
  <c r="N25" i="1" s="1"/>
  <c r="B26" i="1"/>
  <c r="L26" i="1" s="1"/>
  <c r="M26" i="1" s="1"/>
  <c r="N26" i="1" s="1"/>
  <c r="B27" i="1"/>
  <c r="L27" i="1" s="1"/>
  <c r="M27" i="1" s="1"/>
  <c r="N27" i="1" s="1"/>
  <c r="B28" i="1"/>
  <c r="L28" i="1" s="1"/>
  <c r="M28" i="1" s="1"/>
  <c r="N28" i="1" s="1"/>
  <c r="B29" i="1"/>
  <c r="L29" i="1" s="1"/>
  <c r="B30" i="1"/>
  <c r="L30" i="1" s="1"/>
  <c r="B31" i="1"/>
  <c r="L31" i="1" s="1"/>
  <c r="B32" i="1"/>
  <c r="B33" i="1"/>
  <c r="B34" i="1"/>
  <c r="L34" i="1" s="1"/>
  <c r="M34" i="1" s="1"/>
  <c r="N34" i="1" s="1"/>
  <c r="B35" i="1"/>
  <c r="L35" i="1" s="1"/>
  <c r="M35" i="1" s="1"/>
  <c r="N35" i="1" s="1"/>
  <c r="B36" i="1"/>
  <c r="L36" i="1" s="1"/>
  <c r="M36" i="1" s="1"/>
  <c r="N36" i="1" s="1"/>
  <c r="B37" i="1"/>
  <c r="L37" i="1" s="1"/>
  <c r="M37" i="1" s="1"/>
  <c r="N37" i="1" s="1"/>
  <c r="B38" i="1"/>
  <c r="L38" i="1" s="1"/>
  <c r="M38" i="1" s="1"/>
  <c r="N38" i="1" s="1"/>
  <c r="B39" i="1"/>
  <c r="L39" i="1" s="1"/>
  <c r="M39" i="1" s="1"/>
  <c r="N39" i="1" s="1"/>
  <c r="B40" i="1"/>
  <c r="L40" i="1" s="1"/>
  <c r="M40" i="1" s="1"/>
  <c r="N40" i="1" s="1"/>
  <c r="B41" i="1"/>
  <c r="L41" i="1" s="1"/>
  <c r="M41" i="1" s="1"/>
  <c r="N41" i="1" s="1"/>
  <c r="B42" i="1"/>
  <c r="L42" i="1" s="1"/>
  <c r="M42" i="1" s="1"/>
  <c r="N42" i="1" s="1"/>
  <c r="B43" i="1"/>
  <c r="L43" i="1" s="1"/>
  <c r="M43" i="1" s="1"/>
  <c r="N43" i="1" s="1"/>
  <c r="B44" i="1"/>
  <c r="L44" i="1" s="1"/>
  <c r="M44" i="1" s="1"/>
  <c r="N44" i="1" s="1"/>
  <c r="B45" i="1"/>
  <c r="L45" i="1" s="1"/>
  <c r="B46" i="1"/>
  <c r="L46" i="1" s="1"/>
  <c r="B47" i="1"/>
  <c r="L47" i="1" s="1"/>
  <c r="B48" i="1"/>
  <c r="B49" i="1"/>
  <c r="B50" i="1"/>
  <c r="N50" i="1" s="1"/>
  <c r="B51" i="1"/>
  <c r="L51" i="1" s="1"/>
  <c r="M51" i="1" s="1"/>
  <c r="N51" i="1" s="1"/>
  <c r="B52" i="1"/>
  <c r="L52" i="1" s="1"/>
  <c r="M52" i="1" s="1"/>
  <c r="N52" i="1" s="1"/>
  <c r="B53" i="1"/>
  <c r="L53" i="1" s="1"/>
  <c r="M53" i="1" s="1"/>
  <c r="N53" i="1" s="1"/>
  <c r="B54" i="1"/>
  <c r="L54" i="1" s="1"/>
  <c r="M54" i="1" s="1"/>
  <c r="N54" i="1" s="1"/>
  <c r="B55" i="1"/>
  <c r="L55" i="1" s="1"/>
  <c r="M55" i="1" s="1"/>
  <c r="N55" i="1" s="1"/>
  <c r="B56" i="1"/>
  <c r="L56" i="1" s="1"/>
  <c r="M56" i="1" s="1"/>
  <c r="N56" i="1" s="1"/>
  <c r="B57" i="1"/>
  <c r="L57" i="1" s="1"/>
  <c r="M57" i="1" s="1"/>
  <c r="N57" i="1" s="1"/>
  <c r="B58" i="1"/>
  <c r="L58" i="1" s="1"/>
  <c r="M58" i="1" s="1"/>
  <c r="N58" i="1" s="1"/>
  <c r="B59" i="1"/>
  <c r="L59" i="1" s="1"/>
  <c r="M59" i="1" s="1"/>
  <c r="N59" i="1" s="1"/>
  <c r="B60" i="1"/>
  <c r="L60" i="1" s="1"/>
  <c r="M60" i="1" s="1"/>
  <c r="N60" i="1" s="1"/>
  <c r="B61" i="1"/>
  <c r="L61" i="1" s="1"/>
  <c r="B62" i="1"/>
  <c r="L62" i="1" s="1"/>
  <c r="B63" i="1"/>
  <c r="L63" i="1" s="1"/>
  <c r="B64" i="1"/>
  <c r="L64" i="1" s="1"/>
  <c r="B65" i="1"/>
  <c r="B66" i="1"/>
  <c r="B67" i="1"/>
  <c r="L67" i="1" s="1"/>
  <c r="M67" i="1" s="1"/>
  <c r="N67" i="1" s="1"/>
  <c r="B68" i="1"/>
  <c r="L68" i="1" s="1"/>
  <c r="M68" i="1" s="1"/>
  <c r="N68" i="1" s="1"/>
  <c r="B69" i="1"/>
  <c r="L69" i="1" s="1"/>
  <c r="M69" i="1" s="1"/>
  <c r="N69" i="1" s="1"/>
  <c r="B70" i="1"/>
  <c r="L70" i="1" s="1"/>
  <c r="M70" i="1" s="1"/>
  <c r="N70" i="1" s="1"/>
  <c r="B71" i="1"/>
  <c r="L71" i="1" s="1"/>
  <c r="M71" i="1" s="1"/>
  <c r="N71" i="1" s="1"/>
  <c r="B72" i="1"/>
  <c r="L72" i="1" s="1"/>
  <c r="M72" i="1" s="1"/>
  <c r="N72" i="1" s="1"/>
  <c r="B73" i="1"/>
  <c r="L73" i="1" s="1"/>
  <c r="M73" i="1" s="1"/>
  <c r="N73" i="1" s="1"/>
  <c r="B74" i="1"/>
  <c r="L74" i="1" s="1"/>
  <c r="M74" i="1" s="1"/>
  <c r="N74" i="1" s="1"/>
  <c r="B75" i="1"/>
  <c r="L75" i="1" s="1"/>
  <c r="M75" i="1" s="1"/>
  <c r="N75" i="1" s="1"/>
  <c r="B76" i="1"/>
  <c r="L76" i="1" s="1"/>
  <c r="M76" i="1" s="1"/>
  <c r="N76" i="1" s="1"/>
  <c r="B77" i="1"/>
  <c r="L77" i="1" s="1"/>
  <c r="B78" i="1"/>
  <c r="L78" i="1" s="1"/>
  <c r="B79" i="1"/>
  <c r="L79" i="1" s="1"/>
  <c r="B80" i="1"/>
  <c r="L80" i="1" s="1"/>
  <c r="B81" i="1"/>
  <c r="B82" i="1"/>
  <c r="B83" i="1"/>
  <c r="L83" i="1" s="1"/>
  <c r="M83" i="1" s="1"/>
  <c r="N83" i="1" s="1"/>
  <c r="B84" i="1"/>
  <c r="L84" i="1" s="1"/>
  <c r="M84" i="1" s="1"/>
  <c r="N84" i="1" s="1"/>
  <c r="B85" i="1"/>
  <c r="L85" i="1" s="1"/>
  <c r="M85" i="1" s="1"/>
  <c r="N85" i="1" s="1"/>
  <c r="B86" i="1"/>
  <c r="L86" i="1" s="1"/>
  <c r="M86" i="1" s="1"/>
  <c r="N86" i="1" s="1"/>
  <c r="B87" i="1"/>
  <c r="L87" i="1" s="1"/>
  <c r="M87" i="1" s="1"/>
  <c r="N87" i="1" s="1"/>
  <c r="B88" i="1"/>
  <c r="L88" i="1" s="1"/>
  <c r="M88" i="1" s="1"/>
  <c r="N88" i="1" s="1"/>
  <c r="B89" i="1"/>
  <c r="L89" i="1" s="1"/>
  <c r="M89" i="1" s="1"/>
  <c r="N89" i="1" s="1"/>
  <c r="B90" i="1"/>
  <c r="L90" i="1" s="1"/>
  <c r="M90" i="1" s="1"/>
  <c r="N90" i="1" s="1"/>
  <c r="B91" i="1"/>
  <c r="L91" i="1" s="1"/>
  <c r="M91" i="1" s="1"/>
  <c r="N91" i="1" s="1"/>
  <c r="B92" i="1"/>
  <c r="L92" i="1" s="1"/>
  <c r="M92" i="1" s="1"/>
  <c r="N92" i="1" s="1"/>
  <c r="B93" i="1"/>
  <c r="L93" i="1" s="1"/>
  <c r="B94" i="1"/>
  <c r="L94" i="1" s="1"/>
  <c r="B95" i="1"/>
  <c r="L95" i="1" s="1"/>
  <c r="B96" i="1"/>
  <c r="L96" i="1" s="1"/>
  <c r="B97" i="1"/>
  <c r="B98" i="1"/>
  <c r="B99" i="1"/>
  <c r="L99" i="1" s="1"/>
  <c r="M99" i="1" s="1"/>
  <c r="N99" i="1" s="1"/>
  <c r="B100" i="1"/>
  <c r="L100" i="1" s="1"/>
  <c r="M100" i="1" s="1"/>
  <c r="N100" i="1" s="1"/>
  <c r="B101" i="1"/>
  <c r="L101" i="1" s="1"/>
  <c r="M101" i="1" s="1"/>
  <c r="N101" i="1" s="1"/>
  <c r="B102" i="1"/>
  <c r="L102" i="1" s="1"/>
  <c r="M102" i="1" s="1"/>
  <c r="N102" i="1" s="1"/>
  <c r="B103" i="1"/>
  <c r="L103" i="1" s="1"/>
  <c r="M103" i="1" s="1"/>
  <c r="N103" i="1" s="1"/>
  <c r="B104" i="1"/>
  <c r="L104" i="1" s="1"/>
  <c r="M104" i="1" s="1"/>
  <c r="N104" i="1" s="1"/>
  <c r="B105" i="1"/>
  <c r="L105" i="1" s="1"/>
  <c r="M105" i="1" s="1"/>
  <c r="N105" i="1" s="1"/>
  <c r="B106" i="1"/>
  <c r="L106" i="1" s="1"/>
  <c r="M106" i="1" s="1"/>
  <c r="N106" i="1" s="1"/>
  <c r="B107" i="1"/>
  <c r="L107" i="1" s="1"/>
  <c r="M107" i="1" s="1"/>
  <c r="N107" i="1" s="1"/>
  <c r="B108" i="1"/>
  <c r="L108" i="1" s="1"/>
  <c r="M108" i="1" s="1"/>
  <c r="N108" i="1" s="1"/>
  <c r="B109" i="1"/>
  <c r="L109" i="1" s="1"/>
  <c r="B110" i="1"/>
  <c r="L110" i="1" s="1"/>
  <c r="B111" i="1"/>
  <c r="L111" i="1" s="1"/>
  <c r="B112" i="1"/>
  <c r="L112" i="1" s="1"/>
  <c r="B113" i="1"/>
  <c r="B114" i="1"/>
  <c r="B115" i="1"/>
  <c r="L115" i="1" s="1"/>
  <c r="M115" i="1" s="1"/>
  <c r="N115" i="1" s="1"/>
  <c r="B116" i="1"/>
  <c r="L116" i="1" s="1"/>
  <c r="M116" i="1" s="1"/>
  <c r="N116" i="1" s="1"/>
  <c r="B117" i="1"/>
  <c r="L117" i="1" s="1"/>
  <c r="M117" i="1" s="1"/>
  <c r="N117" i="1" s="1"/>
  <c r="B118" i="1"/>
  <c r="L118" i="1" s="1"/>
  <c r="M118" i="1" s="1"/>
  <c r="N118" i="1" s="1"/>
  <c r="B119" i="1"/>
  <c r="L119" i="1" s="1"/>
  <c r="M119" i="1" s="1"/>
  <c r="N119" i="1" s="1"/>
  <c r="B120" i="1"/>
  <c r="L120" i="1" s="1"/>
  <c r="M120" i="1" s="1"/>
  <c r="N120" i="1" s="1"/>
  <c r="B121" i="1"/>
  <c r="L121" i="1" s="1"/>
  <c r="M121" i="1" s="1"/>
  <c r="N121" i="1" s="1"/>
  <c r="B122" i="1"/>
  <c r="L122" i="1" s="1"/>
  <c r="M122" i="1" s="1"/>
  <c r="N122" i="1" s="1"/>
  <c r="B123" i="1"/>
  <c r="L123" i="1" s="1"/>
  <c r="M123" i="1" s="1"/>
  <c r="N123" i="1" s="1"/>
  <c r="B124" i="1"/>
  <c r="L124" i="1" s="1"/>
  <c r="M124" i="1" s="1"/>
  <c r="N124" i="1" s="1"/>
  <c r="B125" i="1"/>
  <c r="L125" i="1" s="1"/>
  <c r="B126" i="1"/>
  <c r="L126" i="1" s="1"/>
  <c r="B127" i="1"/>
  <c r="L127" i="1" s="1"/>
  <c r="B128" i="1"/>
  <c r="L128" i="1" s="1"/>
  <c r="B129" i="1"/>
  <c r="B130" i="1"/>
  <c r="B131" i="1"/>
  <c r="L131" i="1" s="1"/>
  <c r="M131" i="1" s="1"/>
  <c r="N131" i="1" s="1"/>
  <c r="B132" i="1"/>
  <c r="L132" i="1" s="1"/>
  <c r="M132" i="1" s="1"/>
  <c r="N132" i="1" s="1"/>
  <c r="B133" i="1"/>
  <c r="L133" i="1" s="1"/>
  <c r="M133" i="1" s="1"/>
  <c r="N133" i="1" s="1"/>
  <c r="B134" i="1"/>
  <c r="L134" i="1" s="1"/>
  <c r="M134" i="1" s="1"/>
  <c r="N134" i="1" s="1"/>
  <c r="B135" i="1"/>
  <c r="L135" i="1" s="1"/>
  <c r="M135" i="1" s="1"/>
  <c r="N135" i="1" s="1"/>
  <c r="B136" i="1"/>
  <c r="L136" i="1" s="1"/>
  <c r="M136" i="1" s="1"/>
  <c r="N136" i="1" s="1"/>
  <c r="B137" i="1"/>
  <c r="L137" i="1" s="1"/>
  <c r="M137" i="1" s="1"/>
  <c r="N137" i="1" s="1"/>
  <c r="B138" i="1"/>
  <c r="L138" i="1" s="1"/>
  <c r="M138" i="1" s="1"/>
  <c r="N138" i="1" s="1"/>
  <c r="B139" i="1"/>
  <c r="L139" i="1" s="1"/>
  <c r="M139" i="1" s="1"/>
  <c r="N139" i="1" s="1"/>
  <c r="B140" i="1"/>
  <c r="L140" i="1" s="1"/>
  <c r="M140" i="1" s="1"/>
  <c r="N140" i="1" s="1"/>
  <c r="B141" i="1"/>
  <c r="L141" i="1" s="1"/>
  <c r="B142" i="1"/>
  <c r="L142" i="1" s="1"/>
  <c r="B143" i="1"/>
  <c r="L143" i="1" s="1"/>
  <c r="B144" i="1"/>
  <c r="L144" i="1" s="1"/>
  <c r="B145" i="1"/>
  <c r="B146" i="1"/>
  <c r="B147" i="1"/>
  <c r="L147" i="1" s="1"/>
  <c r="M147" i="1" s="1"/>
  <c r="N147" i="1" s="1"/>
  <c r="B148" i="1"/>
  <c r="L148" i="1" s="1"/>
  <c r="M148" i="1" s="1"/>
  <c r="N148" i="1" s="1"/>
  <c r="B149" i="1"/>
  <c r="L149" i="1" s="1"/>
  <c r="M149" i="1" s="1"/>
  <c r="N149" i="1" s="1"/>
  <c r="B150" i="1"/>
  <c r="L150" i="1" s="1"/>
  <c r="M150" i="1" s="1"/>
  <c r="N150" i="1" s="1"/>
  <c r="B151" i="1"/>
  <c r="L151" i="1" s="1"/>
  <c r="M151" i="1" s="1"/>
  <c r="N151" i="1" s="1"/>
  <c r="B152" i="1"/>
  <c r="L152" i="1" s="1"/>
  <c r="M152" i="1" s="1"/>
  <c r="N152" i="1" s="1"/>
  <c r="B153" i="1"/>
  <c r="L153" i="1" s="1"/>
  <c r="M153" i="1" s="1"/>
  <c r="N153" i="1" s="1"/>
  <c r="B154" i="1"/>
  <c r="L154" i="1" s="1"/>
  <c r="M154" i="1" s="1"/>
  <c r="N154" i="1" s="1"/>
  <c r="B155" i="1"/>
  <c r="L155" i="1" s="1"/>
  <c r="M155" i="1" s="1"/>
  <c r="N155" i="1" s="1"/>
  <c r="B156" i="1"/>
  <c r="L156" i="1" s="1"/>
  <c r="M156" i="1" s="1"/>
  <c r="N156" i="1" s="1"/>
  <c r="B157" i="1"/>
  <c r="L157" i="1" s="1"/>
  <c r="B158" i="1"/>
  <c r="L158" i="1" s="1"/>
  <c r="B159" i="1"/>
  <c r="L159" i="1" s="1"/>
  <c r="B160" i="1"/>
  <c r="L160" i="1" s="1"/>
  <c r="B161" i="1"/>
  <c r="B162" i="1"/>
  <c r="B163" i="1"/>
  <c r="L163" i="1" s="1"/>
  <c r="M163" i="1" s="1"/>
  <c r="N163" i="1" s="1"/>
  <c r="B164" i="1"/>
  <c r="L164" i="1" s="1"/>
  <c r="M164" i="1" s="1"/>
  <c r="N164" i="1" s="1"/>
  <c r="B165" i="1"/>
  <c r="L165" i="1" s="1"/>
  <c r="M165" i="1" s="1"/>
  <c r="N165" i="1" s="1"/>
  <c r="B166" i="1"/>
  <c r="L166" i="1" s="1"/>
  <c r="M166" i="1" s="1"/>
  <c r="N166" i="1" s="1"/>
  <c r="B167" i="1"/>
  <c r="L167" i="1" s="1"/>
  <c r="M167" i="1" s="1"/>
  <c r="N167" i="1" s="1"/>
  <c r="B168" i="1"/>
  <c r="L168" i="1" s="1"/>
  <c r="M168" i="1" s="1"/>
  <c r="N168" i="1" s="1"/>
  <c r="B169" i="1"/>
  <c r="L169" i="1" s="1"/>
  <c r="M169" i="1" s="1"/>
  <c r="N169" i="1" s="1"/>
  <c r="B170" i="1"/>
  <c r="L170" i="1" s="1"/>
  <c r="M170" i="1" s="1"/>
  <c r="N170" i="1" s="1"/>
  <c r="B171" i="1"/>
  <c r="L171" i="1" s="1"/>
  <c r="M171" i="1" s="1"/>
  <c r="N171" i="1" s="1"/>
  <c r="B172" i="1"/>
  <c r="L172" i="1" s="1"/>
  <c r="M172" i="1" s="1"/>
  <c r="N172" i="1" s="1"/>
  <c r="B173" i="1"/>
  <c r="L173" i="1" s="1"/>
  <c r="B174" i="1"/>
  <c r="L174" i="1" s="1"/>
  <c r="B175" i="1"/>
  <c r="L175" i="1" s="1"/>
  <c r="B176" i="1"/>
  <c r="L176" i="1" s="1"/>
  <c r="B177" i="1"/>
  <c r="B178" i="1"/>
  <c r="B179" i="1"/>
  <c r="L179" i="1" s="1"/>
  <c r="M179" i="1" s="1"/>
  <c r="N179" i="1" s="1"/>
  <c r="B180" i="1"/>
  <c r="L180" i="1" s="1"/>
  <c r="M180" i="1" s="1"/>
  <c r="N180" i="1" s="1"/>
  <c r="B181" i="1"/>
  <c r="L181" i="1" s="1"/>
  <c r="M181" i="1" s="1"/>
  <c r="N181" i="1" s="1"/>
  <c r="B182" i="1"/>
  <c r="L182" i="1" s="1"/>
  <c r="M182" i="1" s="1"/>
  <c r="N182" i="1" s="1"/>
  <c r="B183" i="1"/>
  <c r="L183" i="1" s="1"/>
  <c r="M183" i="1" s="1"/>
  <c r="N183" i="1" s="1"/>
  <c r="B184" i="1"/>
  <c r="L184" i="1" s="1"/>
  <c r="M184" i="1" s="1"/>
  <c r="N184" i="1" s="1"/>
  <c r="B185" i="1"/>
  <c r="L185" i="1" s="1"/>
  <c r="M185" i="1" s="1"/>
  <c r="N185" i="1" s="1"/>
  <c r="B186" i="1"/>
  <c r="L186" i="1" s="1"/>
  <c r="M186" i="1" s="1"/>
  <c r="N186" i="1" s="1"/>
  <c r="B187" i="1"/>
  <c r="L187" i="1" s="1"/>
  <c r="M187" i="1" s="1"/>
  <c r="N187" i="1" s="1"/>
  <c r="B188" i="1"/>
  <c r="L188" i="1" s="1"/>
  <c r="M188" i="1" s="1"/>
  <c r="N188" i="1" s="1"/>
  <c r="B189" i="1"/>
  <c r="L189" i="1" s="1"/>
  <c r="B190" i="1"/>
  <c r="L190" i="1" s="1"/>
  <c r="B191" i="1"/>
  <c r="L191" i="1" s="1"/>
  <c r="B192" i="1"/>
  <c r="L192" i="1" s="1"/>
  <c r="B193" i="1"/>
  <c r="B194" i="1"/>
  <c r="B195" i="1"/>
  <c r="L195" i="1" s="1"/>
  <c r="M195" i="1" s="1"/>
  <c r="N195" i="1" s="1"/>
  <c r="B196" i="1"/>
  <c r="L196" i="1" s="1"/>
  <c r="M196" i="1" s="1"/>
  <c r="N196" i="1" s="1"/>
  <c r="B197" i="1"/>
  <c r="L197" i="1" s="1"/>
  <c r="M197" i="1" s="1"/>
  <c r="N197" i="1" s="1"/>
  <c r="B198" i="1"/>
  <c r="L198" i="1" s="1"/>
  <c r="M198" i="1" s="1"/>
  <c r="N198" i="1" s="1"/>
  <c r="B199" i="1"/>
  <c r="L199" i="1" s="1"/>
  <c r="M199" i="1" s="1"/>
  <c r="N199" i="1" s="1"/>
  <c r="B200" i="1"/>
  <c r="L200" i="1" s="1"/>
  <c r="M200" i="1" s="1"/>
  <c r="N200" i="1" s="1"/>
  <c r="B201" i="1"/>
  <c r="L201" i="1" s="1"/>
  <c r="M201" i="1" s="1"/>
  <c r="N201" i="1" s="1"/>
  <c r="B202" i="1"/>
  <c r="L202" i="1" s="1"/>
  <c r="M202" i="1" s="1"/>
  <c r="N202" i="1" s="1"/>
  <c r="B203" i="1"/>
  <c r="L203" i="1" s="1"/>
  <c r="M203" i="1" s="1"/>
  <c r="N203" i="1" s="1"/>
  <c r="B204" i="1"/>
  <c r="L204" i="1" s="1"/>
  <c r="M204" i="1" s="1"/>
  <c r="N204" i="1" s="1"/>
  <c r="B205" i="1"/>
  <c r="L205" i="1" s="1"/>
  <c r="B206" i="1"/>
  <c r="L206" i="1" s="1"/>
  <c r="B207" i="1"/>
  <c r="L207" i="1" s="1"/>
  <c r="B208" i="1"/>
  <c r="L208" i="1" s="1"/>
  <c r="B209" i="1"/>
  <c r="B210" i="1"/>
  <c r="B211" i="1"/>
  <c r="L211" i="1" s="1"/>
  <c r="M211" i="1" s="1"/>
  <c r="N211" i="1" s="1"/>
  <c r="B212" i="1"/>
  <c r="L212" i="1" s="1"/>
  <c r="M212" i="1" s="1"/>
  <c r="N212" i="1" s="1"/>
  <c r="B213" i="1"/>
  <c r="L213" i="1" s="1"/>
  <c r="M213" i="1" s="1"/>
  <c r="N213" i="1" s="1"/>
  <c r="B214" i="1"/>
  <c r="L214" i="1" s="1"/>
  <c r="M214" i="1" s="1"/>
  <c r="N214" i="1" s="1"/>
  <c r="B215" i="1"/>
  <c r="L215" i="1" s="1"/>
  <c r="M215" i="1" s="1"/>
  <c r="N215" i="1" s="1"/>
  <c r="B216" i="1"/>
  <c r="L216" i="1" s="1"/>
  <c r="M216" i="1" s="1"/>
  <c r="N216" i="1" s="1"/>
  <c r="B217" i="1"/>
  <c r="L217" i="1" s="1"/>
  <c r="M217" i="1" s="1"/>
  <c r="N217" i="1" s="1"/>
  <c r="B218" i="1"/>
  <c r="L218" i="1" s="1"/>
  <c r="M218" i="1" s="1"/>
  <c r="N218" i="1" s="1"/>
  <c r="B219" i="1"/>
  <c r="L219" i="1" s="1"/>
  <c r="M219" i="1" s="1"/>
  <c r="N219" i="1" s="1"/>
  <c r="B220" i="1"/>
  <c r="L220" i="1" s="1"/>
  <c r="M220" i="1" s="1"/>
  <c r="N220" i="1" s="1"/>
  <c r="B221" i="1"/>
  <c r="L221" i="1" s="1"/>
  <c r="B222" i="1"/>
  <c r="L222" i="1" s="1"/>
  <c r="B223" i="1"/>
  <c r="L223" i="1" s="1"/>
  <c r="B224" i="1"/>
  <c r="L224" i="1" s="1"/>
  <c r="B225" i="1"/>
  <c r="B226" i="1"/>
  <c r="B227" i="1"/>
  <c r="L227" i="1" s="1"/>
  <c r="M227" i="1" s="1"/>
  <c r="N227" i="1" s="1"/>
  <c r="B228" i="1"/>
  <c r="L228" i="1" s="1"/>
  <c r="M228" i="1" s="1"/>
  <c r="N228" i="1" s="1"/>
  <c r="B229" i="1"/>
  <c r="L229" i="1" s="1"/>
  <c r="M229" i="1" s="1"/>
  <c r="N229" i="1" s="1"/>
  <c r="B230" i="1"/>
  <c r="L230" i="1" s="1"/>
  <c r="M230" i="1" s="1"/>
  <c r="N230" i="1" s="1"/>
  <c r="B231" i="1"/>
  <c r="L231" i="1" s="1"/>
  <c r="M231" i="1" s="1"/>
  <c r="N231" i="1" s="1"/>
  <c r="B232" i="1"/>
  <c r="L232" i="1" s="1"/>
  <c r="M232" i="1" s="1"/>
  <c r="N232" i="1" s="1"/>
  <c r="B233" i="1"/>
  <c r="L233" i="1" s="1"/>
  <c r="M233" i="1" s="1"/>
  <c r="N233" i="1" s="1"/>
  <c r="B234" i="1"/>
  <c r="L234" i="1" s="1"/>
  <c r="M234" i="1" s="1"/>
  <c r="N234" i="1" s="1"/>
  <c r="B235" i="1"/>
  <c r="L235" i="1" s="1"/>
  <c r="M235" i="1" s="1"/>
  <c r="N235" i="1" s="1"/>
  <c r="B236" i="1"/>
  <c r="L236" i="1" s="1"/>
  <c r="M236" i="1" s="1"/>
  <c r="N236" i="1" s="1"/>
  <c r="B237" i="1"/>
  <c r="L237" i="1" s="1"/>
  <c r="B238" i="1"/>
  <c r="L238" i="1" s="1"/>
  <c r="B239" i="1"/>
  <c r="L239" i="1" s="1"/>
  <c r="B240" i="1"/>
  <c r="L240" i="1" s="1"/>
  <c r="B241" i="1"/>
  <c r="B242" i="1"/>
  <c r="B243" i="1"/>
  <c r="L243" i="1" s="1"/>
  <c r="M243" i="1" s="1"/>
  <c r="N243" i="1" s="1"/>
  <c r="B244" i="1"/>
  <c r="L244" i="1" s="1"/>
  <c r="M244" i="1" s="1"/>
  <c r="N244" i="1" s="1"/>
  <c r="L2" i="1" l="1"/>
  <c r="M2" i="1" s="1"/>
  <c r="N2" i="1" s="1"/>
  <c r="Q34" i="1"/>
  <c r="Q33" i="1"/>
  <c r="Q35" i="1"/>
</calcChain>
</file>

<file path=xl/sharedStrings.xml><?xml version="1.0" encoding="utf-8"?>
<sst xmlns="http://schemas.openxmlformats.org/spreadsheetml/2006/main" count="1063" uniqueCount="71">
  <si>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</si>
  <si>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</si>
  <si>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</si>
  <si>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</si>
  <si>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</si>
  <si>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</si>
  <si>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</si>
  <si>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</si>
  <si>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</si>
  <si>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</si>
  <si>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</si>
  <si>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</si>
  <si>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</si>
  <si>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</si>
  <si>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</si>
  <si>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</si>
  <si>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</si>
  <si>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</si>
  <si>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</si>
  <si>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</si>
  <si>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</si>
  <si>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</si>
  <si>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</si>
  <si>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</si>
  <si>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</si>
  <si>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</si>
  <si>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Dependent variable (Y):</t>
  </si>
  <si>
    <t>Independent variables (X):</t>
  </si>
  <si>
    <t>tip (the value we are predicting)</t>
  </si>
  <si>
    <t>This is a regression problem because the output variable (tip) is numeric</t>
  </si>
  <si>
    <t>Note 1 :</t>
  </si>
  <si>
    <t>Note 2:</t>
  </si>
  <si>
    <t>sex_enc</t>
  </si>
  <si>
    <t>smoker_enc</t>
  </si>
  <si>
    <t>day_enc</t>
  </si>
  <si>
    <t>time_enc</t>
  </si>
  <si>
    <t>Variables</t>
  </si>
  <si>
    <t>Correlation with tip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</si>
  <si>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</si>
  <si>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</si>
  <si>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</si>
  <si>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</si>
  <si>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</si>
  <si>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</si>
  <si>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</si>
  <si>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</si>
  <si>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</si>
  <si>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</si>
  <si>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</si>
  <si>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</si>
  <si>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</si>
  <si>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</si>
  <si>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</si>
  <si>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</si>
  <si>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</si>
  <si>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</si>
  <si>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</si>
  <si>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</si>
  <si>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</si>
  <si>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</si>
  <si>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</si>
  <si>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</si>
  <si>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</si>
  <si>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</si>
  <si>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tip</t>
  </si>
  <si>
    <t>Residuals</t>
  </si>
  <si>
    <t xml:space="preserve">Regression Output using input range sheet and Tips column from tips sheet </t>
  </si>
  <si>
    <t>predicted_tip</t>
  </si>
  <si>
    <t>Error</t>
  </si>
  <si>
    <t xml:space="preserve">Squares Error </t>
  </si>
  <si>
    <t xml:space="preserve">RMSE formula for Squared Error column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</si>
</sst>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2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3" fillId="3" borderId="1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3" borderId="2" xfId="0" applyFill="1" applyBorder="1"/>
    <xf numFmtId="0" fontId="0" fillId="2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0" borderId="5" xfId="0" applyBorder="1"/>
    <xf numFmtId="0" fontId="4" fillId="0" borderId="6" xfId="0" applyFont="1" applyBorder="1" applyAlignment="1">
      <alignment horizontal="center"/>
    </xf>
    <xf numFmtId="0" fontId="1" fillId="10" borderId="7" xfId="0" applyFont="1" applyFill="1" applyBorder="1" applyAlignment="1">
      <alignment horizontal="center" vertical="center"/>
    </xf>
    <xf numFmtId="0" fontId="3" fillId="12" borderId="1" xfId="0" applyFont="1" applyFill="1" applyBorder="1"/>
    <xf numFmtId="0" fontId="0" fillId="12" borderId="0" xfId="0" applyFill="1"/>
    <xf numFmtId="0" fontId="3" fillId="12" borderId="0" xfId="0" applyFont="1" applyFill="1"/>
    <xf numFmtId="0" fontId="3" fillId="0" borderId="0" xfId="0" applyFont="1"/>
    <xf numFmtId="0" fontId="0" fillId="12" borderId="0" xfId="0" applyFill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/>
    </xf>
    <xf numFmtId="0" fontId="0" fillId="13" borderId="0" xfId="0" applyFill="1"/>
    <xf numFmtId="0" fontId="0" fillId="13" borderId="5" xfId="0" applyFill="1" applyBorder="1"/>
    <xf numFmtId="0" fontId="5" fillId="1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sheetPr codeName="Sheet1"/>
  <dimension ref="A1:X312"/>
  <sheetViews>
    <sheetView tabSelected="1" topLeftCell="G1" zoomScale="97" zoomScaleNormal="97" workbookViewId="0">
      <pane ySplit="1" topLeftCell="A2" activePane="bottomLeft" state="frozen"/>
      <selection pane="bottomLeft" activeCell="Q4" sqref="Q4"/>
    </sheetView>
  </sheetViews>
  <sheetFormatPr defaultColWidth="13.44140625" defaultRowHeight="14.4" x14ac:dyDescent="0.3"/>
  <cols>
    <col min="1" max="1" width="13.44140625" customWidth="1"/>
    <col min="7" max="7" width="13.44140625" customWidth="1"/>
    <col min="12" max="12" width="16.21875" bestFit="1" customWidth="1"/>
    <col min="14" max="14" width="16.5546875" bestFit="1" customWidth="1"/>
    <col min="17" max="17" width="60" bestFit="1" customWidth="1"/>
  </cols>
  <sheetData>
    <row r="1" spans="1:17" ht="18" x14ac:dyDescent="0.35">
      <c r="A1" s="6" t="s">
        <v>0</v>
      </c>
      <c r="B1" s="7" t="s">
        <v>32</v>
      </c>
      <c r="C1" s="8" t="s">
        <v>1</v>
      </c>
      <c r="D1" s="9" t="s">
        <v>33</v>
      </c>
      <c r="E1" s="10" t="s">
        <v>2</v>
      </c>
      <c r="F1" s="11" t="s">
        <v>34</v>
      </c>
      <c r="G1" s="12" t="s">
        <v>3</v>
      </c>
      <c r="H1" s="13" t="s">
        <v>35</v>
      </c>
      <c r="I1" s="14" t="s">
        <v>4</v>
      </c>
      <c r="J1" s="14" t="s">
        <v>5</v>
      </c>
      <c r="K1" s="15" t="s">
        <v>6</v>
      </c>
      <c r="L1" s="41" t="s">
        <v>67</v>
      </c>
      <c r="M1" s="41" t="s">
        <v>68</v>
      </c>
      <c r="N1" s="43" t="s">
        <v>69</v>
      </c>
      <c r="O1" s="44"/>
    </row>
    <row r="2" spans="1:17" x14ac:dyDescent="0.3">
      <c r="A2" s="16" t="s">
        <v>7</v>
      </c>
      <c r="B2" s="17">
        <f t="shared" ref="B2:B65" si="0">IF(A2="Male",1,0)</f>
        <v>0</v>
      </c>
      <c r="C2" s="18" t="s">
        <v>8</v>
      </c>
      <c r="D2" s="19">
        <f t="shared" ref="D2:D65" si="1">IF(C2="Yes",1,0)</f>
        <v>0</v>
      </c>
      <c r="E2" s="20" t="s">
        <v>9</v>
      </c>
      <c r="F2" s="21">
        <f>IF(E2="Thur",1,IF(E2="Fri",2,IF(E2="Sat",3,4)))</f>
        <v>4</v>
      </c>
      <c r="G2" s="22" t="s">
        <v>10</v>
      </c>
      <c r="H2" s="23">
        <f t="shared" ref="H2:H65" si="2">IF(G2="Dinner",1,0)</f>
        <v>1</v>
      </c>
      <c r="I2" s="24">
        <v>2</v>
      </c>
      <c r="J2" s="24">
        <v>16.989999999999998</v>
      </c>
      <c r="K2" s="25">
        <v>1.01</v>
      </c>
      <c r="L2" s="42">
        <f t="shared" ref="L2:L65" si="3">$Q$57 + $Q$58*B2 + $Q$59*D2 + $Q$62*F2 + $Q$61*H2 + $Q$60*I2 + $Q$63*J2</f>
        <v>2.9664799569551832</v>
      </c>
      <c r="M2" s="42">
        <f>K2-L2</f>
        <v>-1.9564799569551832</v>
      </c>
      <c r="N2" s="42">
        <f xml:space="preserve"> M2^2</f>
        <v>3.8278138219673554</v>
      </c>
    </row>
    <row r="3" spans="1:17" x14ac:dyDescent="0.3">
      <c r="A3" s="16" t="s">
        <v>11</v>
      </c>
      <c r="B3" s="17">
        <f t="shared" si="0"/>
        <v>1</v>
      </c>
      <c r="C3" s="18" t="s">
        <v>8</v>
      </c>
      <c r="D3" s="19">
        <f t="shared" si="1"/>
        <v>0</v>
      </c>
      <c r="E3" s="20" t="s">
        <v>9</v>
      </c>
      <c r="F3" s="21">
        <f t="shared" ref="F2:F65" si="4">IF(E3="Thur",1,IF(E3="Fri",2,IF(E3="Sat",3,4)))</f>
        <v>4</v>
      </c>
      <c r="G3" s="22" t="s">
        <v>10</v>
      </c>
      <c r="H3" s="23">
        <f t="shared" si="2"/>
        <v>1</v>
      </c>
      <c r="I3" s="24">
        <v>3</v>
      </c>
      <c r="J3" s="24">
        <v>10.34</v>
      </c>
      <c r="K3" s="25">
        <v>1.66</v>
      </c>
      <c r="L3" s="42">
        <f t="shared" si="3"/>
        <v>2.3560003484322527</v>
      </c>
      <c r="M3" s="42">
        <f t="shared" ref="M3:M66" si="5">K3-L3</f>
        <v>-0.69600034843225278</v>
      </c>
      <c r="N3" s="42">
        <f xml:space="preserve"> M3^2</f>
        <v>0.48441648501781726</v>
      </c>
      <c r="Q3" s="40" t="s">
        <v>70</v>
      </c>
    </row>
    <row r="4" spans="1:17" x14ac:dyDescent="0.3">
      <c r="A4" s="16" t="s">
        <v>11</v>
      </c>
      <c r="B4" s="17">
        <f t="shared" si="0"/>
        <v>1</v>
      </c>
      <c r="C4" s="18" t="s">
        <v>8</v>
      </c>
      <c r="D4" s="19">
        <f t="shared" si="1"/>
        <v>0</v>
      </c>
      <c r="E4" s="20" t="s">
        <v>9</v>
      </c>
      <c r="F4" s="21">
        <f t="shared" si="4"/>
        <v>4</v>
      </c>
      <c r="G4" s="22" t="s">
        <v>10</v>
      </c>
      <c r="H4" s="23">
        <f t="shared" si="2"/>
        <v>1</v>
      </c>
      <c r="I4" s="24">
        <v>3</v>
      </c>
      <c r="J4" s="24">
        <v>21.01</v>
      </c>
      <c r="K4" s="25">
        <v>3.5</v>
      </c>
      <c r="L4" s="42">
        <f t="shared" si="3"/>
        <v>3.3617920919736686</v>
      </c>
      <c r="M4" s="42">
        <f t="shared" si="5"/>
        <v>0.13820790802633143</v>
      </c>
      <c r="N4" s="42">
        <f t="shared" ref="N3:N66" si="6" xml:space="preserve"> M4^2</f>
        <v>1.9101425841014888E-2</v>
      </c>
      <c r="Q4" s="45">
        <f>SQRT(AVERAGE(N2:N244))</f>
        <v>1.021861080926558</v>
      </c>
    </row>
    <row r="5" spans="1:17" x14ac:dyDescent="0.3">
      <c r="A5" s="16" t="s">
        <v>11</v>
      </c>
      <c r="B5" s="17">
        <f t="shared" si="0"/>
        <v>1</v>
      </c>
      <c r="C5" s="18" t="s">
        <v>8</v>
      </c>
      <c r="D5" s="19">
        <f t="shared" si="1"/>
        <v>0</v>
      </c>
      <c r="E5" s="20" t="s">
        <v>9</v>
      </c>
      <c r="F5" s="21">
        <f t="shared" si="4"/>
        <v>4</v>
      </c>
      <c r="G5" s="22" t="s">
        <v>10</v>
      </c>
      <c r="H5" s="23">
        <f t="shared" si="2"/>
        <v>1</v>
      </c>
      <c r="I5" s="24">
        <v>2</v>
      </c>
      <c r="J5" s="24">
        <v>23.68</v>
      </c>
      <c r="K5" s="25">
        <v>3.31</v>
      </c>
      <c r="L5" s="42">
        <f t="shared" si="3"/>
        <v>3.5604703816726051</v>
      </c>
      <c r="M5" s="42">
        <f t="shared" si="5"/>
        <v>-0.25047038167260505</v>
      </c>
      <c r="N5" s="42">
        <f t="shared" si="6"/>
        <v>6.2735412095220447E-2</v>
      </c>
    </row>
    <row r="6" spans="1:17" x14ac:dyDescent="0.3">
      <c r="A6" s="16" t="s">
        <v>7</v>
      </c>
      <c r="B6" s="17">
        <f t="shared" si="0"/>
        <v>0</v>
      </c>
      <c r="C6" s="18" t="s">
        <v>8</v>
      </c>
      <c r="D6" s="19">
        <f t="shared" si="1"/>
        <v>0</v>
      </c>
      <c r="E6" s="20" t="s">
        <v>9</v>
      </c>
      <c r="F6" s="21">
        <f t="shared" si="4"/>
        <v>4</v>
      </c>
      <c r="G6" s="22" t="s">
        <v>10</v>
      </c>
      <c r="H6" s="23">
        <f t="shared" si="2"/>
        <v>1</v>
      </c>
      <c r="I6" s="24">
        <v>4</v>
      </c>
      <c r="J6" s="24">
        <v>24.59</v>
      </c>
      <c r="K6" s="25">
        <v>3.61</v>
      </c>
      <c r="L6" s="42">
        <f t="shared" si="3"/>
        <v>3.7888933083376206</v>
      </c>
      <c r="M6" s="42">
        <f t="shared" si="5"/>
        <v>-0.17889330833762074</v>
      </c>
      <c r="N6" s="42">
        <f t="shared" si="6"/>
        <v>3.2002815767979045E-2</v>
      </c>
    </row>
    <row r="7" spans="1:17" x14ac:dyDescent="0.3">
      <c r="A7" s="16" t="s">
        <v>11</v>
      </c>
      <c r="B7" s="17">
        <f t="shared" si="0"/>
        <v>1</v>
      </c>
      <c r="C7" s="18" t="s">
        <v>8</v>
      </c>
      <c r="D7" s="19">
        <f t="shared" si="1"/>
        <v>0</v>
      </c>
      <c r="E7" s="20" t="s">
        <v>9</v>
      </c>
      <c r="F7" s="21">
        <f t="shared" si="4"/>
        <v>4</v>
      </c>
      <c r="G7" s="22" t="s">
        <v>10</v>
      </c>
      <c r="H7" s="23">
        <f t="shared" si="2"/>
        <v>1</v>
      </c>
      <c r="I7" s="24">
        <v>4</v>
      </c>
      <c r="J7" s="24">
        <v>25.29</v>
      </c>
      <c r="K7" s="25">
        <v>4.71</v>
      </c>
      <c r="L7" s="42">
        <f t="shared" si="3"/>
        <v>3.8182452565964597</v>
      </c>
      <c r="M7" s="42">
        <f t="shared" si="5"/>
        <v>0.89175474340354022</v>
      </c>
      <c r="N7" s="42">
        <f t="shared" si="6"/>
        <v>0.79522652238271385</v>
      </c>
      <c r="P7" s="1" t="s">
        <v>12</v>
      </c>
      <c r="Q7" s="1" t="s">
        <v>13</v>
      </c>
    </row>
    <row r="8" spans="1:17" x14ac:dyDescent="0.3">
      <c r="A8" s="16" t="s">
        <v>11</v>
      </c>
      <c r="B8" s="17">
        <f t="shared" si="0"/>
        <v>1</v>
      </c>
      <c r="C8" s="18" t="s">
        <v>8</v>
      </c>
      <c r="D8" s="19">
        <f t="shared" si="1"/>
        <v>0</v>
      </c>
      <c r="E8" s="20" t="s">
        <v>9</v>
      </c>
      <c r="F8" s="21">
        <f t="shared" si="4"/>
        <v>4</v>
      </c>
      <c r="G8" s="22" t="s">
        <v>10</v>
      </c>
      <c r="H8" s="23">
        <f t="shared" si="2"/>
        <v>1</v>
      </c>
      <c r="I8" s="24">
        <v>2</v>
      </c>
      <c r="J8" s="24">
        <v>8.77</v>
      </c>
      <c r="K8" s="25">
        <v>2</v>
      </c>
      <c r="L8" s="42">
        <f t="shared" si="3"/>
        <v>2.1550013192356317</v>
      </c>
      <c r="M8" s="42">
        <f t="shared" si="5"/>
        <v>-0.15500131923563165</v>
      </c>
      <c r="N8" s="42">
        <f t="shared" si="6"/>
        <v>2.4025408964786193E-2</v>
      </c>
      <c r="P8" s="1" t="s">
        <v>1</v>
      </c>
      <c r="Q8" s="1" t="s">
        <v>14</v>
      </c>
    </row>
    <row r="9" spans="1:17" x14ac:dyDescent="0.3">
      <c r="A9" s="16" t="s">
        <v>11</v>
      </c>
      <c r="B9" s="17">
        <f t="shared" si="0"/>
        <v>1</v>
      </c>
      <c r="C9" s="18" t="s">
        <v>8</v>
      </c>
      <c r="D9" s="19">
        <f t="shared" si="1"/>
        <v>0</v>
      </c>
      <c r="E9" s="20" t="s">
        <v>9</v>
      </c>
      <c r="F9" s="21">
        <f t="shared" si="4"/>
        <v>4</v>
      </c>
      <c r="G9" s="22" t="s">
        <v>10</v>
      </c>
      <c r="H9" s="23">
        <f t="shared" si="2"/>
        <v>1</v>
      </c>
      <c r="I9" s="24">
        <v>4</v>
      </c>
      <c r="J9" s="24">
        <v>26.88</v>
      </c>
      <c r="K9" s="25">
        <v>3.12</v>
      </c>
      <c r="L9" s="42">
        <f t="shared" si="3"/>
        <v>3.9681242511822936</v>
      </c>
      <c r="M9" s="42">
        <f t="shared" si="5"/>
        <v>-0.84812425118229351</v>
      </c>
      <c r="N9" s="42">
        <f t="shared" si="6"/>
        <v>0.71931474544352614</v>
      </c>
      <c r="P9" s="1" t="s">
        <v>2</v>
      </c>
      <c r="Q9" s="1" t="s">
        <v>15</v>
      </c>
    </row>
    <row r="10" spans="1:17" x14ac:dyDescent="0.3">
      <c r="A10" s="16" t="s">
        <v>11</v>
      </c>
      <c r="B10" s="17">
        <f t="shared" si="0"/>
        <v>1</v>
      </c>
      <c r="C10" s="18" t="s">
        <v>8</v>
      </c>
      <c r="D10" s="19">
        <f t="shared" si="1"/>
        <v>0</v>
      </c>
      <c r="E10" s="20" t="s">
        <v>9</v>
      </c>
      <c r="F10" s="21">
        <f t="shared" si="4"/>
        <v>4</v>
      </c>
      <c r="G10" s="22" t="s">
        <v>10</v>
      </c>
      <c r="H10" s="23">
        <f t="shared" si="2"/>
        <v>1</v>
      </c>
      <c r="I10" s="24">
        <v>2</v>
      </c>
      <c r="J10" s="24">
        <v>15.04</v>
      </c>
      <c r="K10" s="25">
        <v>1.96</v>
      </c>
      <c r="L10" s="42">
        <f t="shared" si="3"/>
        <v>2.7460335809042986</v>
      </c>
      <c r="M10" s="42">
        <f t="shared" si="5"/>
        <v>-0.78603358090429865</v>
      </c>
      <c r="N10" s="42">
        <f t="shared" si="6"/>
        <v>0.61784879030923456</v>
      </c>
      <c r="P10" s="1" t="s">
        <v>3</v>
      </c>
      <c r="Q10" s="1" t="s">
        <v>16</v>
      </c>
    </row>
    <row r="11" spans="1:17" x14ac:dyDescent="0.3">
      <c r="A11" s="16" t="s">
        <v>11</v>
      </c>
      <c r="B11" s="17">
        <f t="shared" si="0"/>
        <v>1</v>
      </c>
      <c r="C11" s="18" t="s">
        <v>8</v>
      </c>
      <c r="D11" s="19">
        <f t="shared" si="1"/>
        <v>0</v>
      </c>
      <c r="E11" s="20" t="s">
        <v>9</v>
      </c>
      <c r="F11" s="21">
        <f t="shared" si="4"/>
        <v>4</v>
      </c>
      <c r="G11" s="22" t="s">
        <v>10</v>
      </c>
      <c r="H11" s="23">
        <f t="shared" si="2"/>
        <v>1</v>
      </c>
      <c r="I11" s="24">
        <v>2</v>
      </c>
      <c r="J11" s="24">
        <v>14.78</v>
      </c>
      <c r="K11" s="25">
        <v>3.23</v>
      </c>
      <c r="L11" s="42">
        <f t="shared" si="3"/>
        <v>2.7215250660663637</v>
      </c>
      <c r="M11" s="42">
        <f t="shared" si="5"/>
        <v>0.5084749339336363</v>
      </c>
      <c r="N11" s="42">
        <f t="shared" si="6"/>
        <v>0.2585467584388158</v>
      </c>
      <c r="P11" s="1" t="s">
        <v>4</v>
      </c>
      <c r="Q11" s="1" t="s">
        <v>17</v>
      </c>
    </row>
    <row r="12" spans="1:17" x14ac:dyDescent="0.3">
      <c r="A12" s="16" t="s">
        <v>11</v>
      </c>
      <c r="B12" s="17">
        <f t="shared" si="0"/>
        <v>1</v>
      </c>
      <c r="C12" s="18" t="s">
        <v>8</v>
      </c>
      <c r="D12" s="19">
        <f t="shared" si="1"/>
        <v>0</v>
      </c>
      <c r="E12" s="20" t="s">
        <v>9</v>
      </c>
      <c r="F12" s="21">
        <f t="shared" si="4"/>
        <v>4</v>
      </c>
      <c r="G12" s="22" t="s">
        <v>10</v>
      </c>
      <c r="H12" s="23">
        <f t="shared" si="2"/>
        <v>1</v>
      </c>
      <c r="I12" s="24">
        <v>2</v>
      </c>
      <c r="J12" s="24">
        <v>10.27</v>
      </c>
      <c r="K12" s="25">
        <v>1.71</v>
      </c>
      <c r="L12" s="42">
        <f t="shared" si="3"/>
        <v>2.2963965971467961</v>
      </c>
      <c r="M12" s="42">
        <f t="shared" si="5"/>
        <v>-0.58639659714679615</v>
      </c>
      <c r="N12" s="42">
        <f t="shared" si="6"/>
        <v>0.34386096914534192</v>
      </c>
      <c r="P12" s="1" t="s">
        <v>18</v>
      </c>
      <c r="Q12" s="1" t="s">
        <v>19</v>
      </c>
    </row>
    <row r="13" spans="1:17" x14ac:dyDescent="0.3">
      <c r="A13" s="16" t="s">
        <v>7</v>
      </c>
      <c r="B13" s="17">
        <f t="shared" si="0"/>
        <v>0</v>
      </c>
      <c r="C13" s="18" t="s">
        <v>8</v>
      </c>
      <c r="D13" s="19">
        <f t="shared" si="1"/>
        <v>0</v>
      </c>
      <c r="E13" s="20" t="s">
        <v>9</v>
      </c>
      <c r="F13" s="21">
        <f t="shared" si="4"/>
        <v>4</v>
      </c>
      <c r="G13" s="22" t="s">
        <v>10</v>
      </c>
      <c r="H13" s="23">
        <f t="shared" si="2"/>
        <v>1</v>
      </c>
      <c r="I13" s="24">
        <v>4</v>
      </c>
      <c r="J13" s="24">
        <v>35.26</v>
      </c>
      <c r="K13" s="25">
        <v>5</v>
      </c>
      <c r="L13" s="42">
        <f t="shared" si="3"/>
        <v>4.7946850518790356</v>
      </c>
      <c r="M13" s="42">
        <f t="shared" si="5"/>
        <v>0.2053149481209644</v>
      </c>
      <c r="N13" s="42">
        <f t="shared" si="6"/>
        <v>4.2154227921914304E-2</v>
      </c>
      <c r="P13" s="1" t="s">
        <v>6</v>
      </c>
      <c r="Q13" s="1" t="s">
        <v>20</v>
      </c>
    </row>
    <row r="14" spans="1:17" x14ac:dyDescent="0.3">
      <c r="A14" s="16" t="s">
        <v>11</v>
      </c>
      <c r="B14" s="17">
        <f t="shared" si="0"/>
        <v>1</v>
      </c>
      <c r="C14" s="18" t="s">
        <v>8</v>
      </c>
      <c r="D14" s="19">
        <f t="shared" si="1"/>
        <v>0</v>
      </c>
      <c r="E14" s="20" t="s">
        <v>9</v>
      </c>
      <c r="F14" s="21">
        <f t="shared" si="4"/>
        <v>4</v>
      </c>
      <c r="G14" s="22" t="s">
        <v>10</v>
      </c>
      <c r="H14" s="23">
        <f t="shared" si="2"/>
        <v>1</v>
      </c>
      <c r="I14" s="24">
        <v>2</v>
      </c>
      <c r="J14" s="24">
        <v>15.42</v>
      </c>
      <c r="K14" s="25">
        <v>1.57</v>
      </c>
      <c r="L14" s="42">
        <f t="shared" si="3"/>
        <v>2.7818537179751268</v>
      </c>
      <c r="M14" s="42">
        <f t="shared" si="5"/>
        <v>-1.2118537179751268</v>
      </c>
      <c r="N14" s="42">
        <f t="shared" si="6"/>
        <v>1.468589433770138</v>
      </c>
    </row>
    <row r="15" spans="1:17" x14ac:dyDescent="0.3">
      <c r="A15" s="16" t="s">
        <v>11</v>
      </c>
      <c r="B15" s="17">
        <f t="shared" si="0"/>
        <v>1</v>
      </c>
      <c r="C15" s="18" t="s">
        <v>8</v>
      </c>
      <c r="D15" s="19">
        <f t="shared" si="1"/>
        <v>0</v>
      </c>
      <c r="E15" s="20" t="s">
        <v>9</v>
      </c>
      <c r="F15" s="21">
        <f t="shared" si="4"/>
        <v>4</v>
      </c>
      <c r="G15" s="22" t="s">
        <v>10</v>
      </c>
      <c r="H15" s="23">
        <f t="shared" si="2"/>
        <v>1</v>
      </c>
      <c r="I15" s="24">
        <v>4</v>
      </c>
      <c r="J15" s="24">
        <v>18.43</v>
      </c>
      <c r="K15" s="25">
        <v>3</v>
      </c>
      <c r="L15" s="42">
        <f t="shared" si="3"/>
        <v>3.1715975189494015</v>
      </c>
      <c r="M15" s="42">
        <f t="shared" si="5"/>
        <v>-0.17159751894940145</v>
      </c>
      <c r="N15" s="42">
        <f t="shared" si="6"/>
        <v>2.944570850959019E-2</v>
      </c>
    </row>
    <row r="16" spans="1:17" x14ac:dyDescent="0.3">
      <c r="A16" s="16" t="s">
        <v>7</v>
      </c>
      <c r="B16" s="17">
        <f t="shared" si="0"/>
        <v>0</v>
      </c>
      <c r="C16" s="18" t="s">
        <v>8</v>
      </c>
      <c r="D16" s="19">
        <f t="shared" si="1"/>
        <v>0</v>
      </c>
      <c r="E16" s="20" t="s">
        <v>9</v>
      </c>
      <c r="F16" s="21">
        <f t="shared" si="4"/>
        <v>4</v>
      </c>
      <c r="G16" s="22" t="s">
        <v>10</v>
      </c>
      <c r="H16" s="23">
        <f t="shared" si="2"/>
        <v>1</v>
      </c>
      <c r="I16" s="24">
        <v>2</v>
      </c>
      <c r="J16" s="24">
        <v>14.83</v>
      </c>
      <c r="K16" s="25">
        <v>3.02</v>
      </c>
      <c r="L16" s="42">
        <f t="shared" si="3"/>
        <v>2.7628707567631068</v>
      </c>
      <c r="M16" s="42">
        <f t="shared" si="5"/>
        <v>0.25712924323689323</v>
      </c>
      <c r="N16" s="42">
        <f t="shared" si="6"/>
        <v>6.6115447727577409E-2</v>
      </c>
      <c r="Q16" s="2" t="s">
        <v>30</v>
      </c>
    </row>
    <row r="17" spans="1:17" x14ac:dyDescent="0.3">
      <c r="A17" s="16" t="s">
        <v>11</v>
      </c>
      <c r="B17" s="17">
        <f t="shared" si="0"/>
        <v>1</v>
      </c>
      <c r="C17" s="18" t="s">
        <v>8</v>
      </c>
      <c r="D17" s="19">
        <f t="shared" si="1"/>
        <v>0</v>
      </c>
      <c r="E17" s="20" t="s">
        <v>9</v>
      </c>
      <c r="F17" s="21">
        <f t="shared" si="4"/>
        <v>4</v>
      </c>
      <c r="G17" s="22" t="s">
        <v>10</v>
      </c>
      <c r="H17" s="23">
        <f t="shared" si="2"/>
        <v>1</v>
      </c>
      <c r="I17" s="24">
        <v>2</v>
      </c>
      <c r="J17" s="24">
        <v>21.58</v>
      </c>
      <c r="K17" s="25">
        <v>3.92</v>
      </c>
      <c r="L17" s="42">
        <f t="shared" si="3"/>
        <v>3.3625169925969747</v>
      </c>
      <c r="M17" s="42">
        <f t="shared" si="5"/>
        <v>0.55748300740302525</v>
      </c>
      <c r="N17" s="42">
        <f t="shared" si="6"/>
        <v>0.31078730354312151</v>
      </c>
      <c r="Q17" s="3" t="s">
        <v>26</v>
      </c>
    </row>
    <row r="18" spans="1:17" x14ac:dyDescent="0.3">
      <c r="A18" s="16" t="s">
        <v>7</v>
      </c>
      <c r="B18" s="17">
        <f t="shared" si="0"/>
        <v>0</v>
      </c>
      <c r="C18" s="18" t="s">
        <v>8</v>
      </c>
      <c r="D18" s="19">
        <f t="shared" si="1"/>
        <v>0</v>
      </c>
      <c r="E18" s="20" t="s">
        <v>9</v>
      </c>
      <c r="F18" s="21">
        <f t="shared" si="4"/>
        <v>4</v>
      </c>
      <c r="G18" s="22" t="s">
        <v>10</v>
      </c>
      <c r="H18" s="23">
        <f t="shared" si="2"/>
        <v>1</v>
      </c>
      <c r="I18" s="24">
        <v>3</v>
      </c>
      <c r="J18" s="24">
        <v>10.33</v>
      </c>
      <c r="K18" s="25">
        <v>1.67</v>
      </c>
      <c r="L18" s="42">
        <f t="shared" si="3"/>
        <v>2.3916902280125494</v>
      </c>
      <c r="M18" s="42">
        <f t="shared" si="5"/>
        <v>-0.72169022801254945</v>
      </c>
      <c r="N18" s="42">
        <f t="shared" si="6"/>
        <v>0.52083678520880561</v>
      </c>
      <c r="Q18" s="4" t="s">
        <v>28</v>
      </c>
    </row>
    <row r="19" spans="1:17" x14ac:dyDescent="0.3">
      <c r="A19" s="16" t="s">
        <v>11</v>
      </c>
      <c r="B19" s="17">
        <f t="shared" si="0"/>
        <v>1</v>
      </c>
      <c r="C19" s="18" t="s">
        <v>8</v>
      </c>
      <c r="D19" s="19">
        <f t="shared" si="1"/>
        <v>0</v>
      </c>
      <c r="E19" s="20" t="s">
        <v>9</v>
      </c>
      <c r="F19" s="21">
        <f t="shared" si="4"/>
        <v>4</v>
      </c>
      <c r="G19" s="22" t="s">
        <v>10</v>
      </c>
      <c r="H19" s="23">
        <f t="shared" si="2"/>
        <v>1</v>
      </c>
      <c r="I19" s="24">
        <v>3</v>
      </c>
      <c r="J19" s="24">
        <v>16.29</v>
      </c>
      <c r="K19" s="25">
        <v>3.71</v>
      </c>
      <c r="L19" s="42">
        <f t="shared" si="3"/>
        <v>2.9168682841465379</v>
      </c>
      <c r="M19" s="42">
        <f t="shared" si="5"/>
        <v>0.79313171585346209</v>
      </c>
      <c r="N19" s="42">
        <f t="shared" si="6"/>
        <v>0.62905791869265693</v>
      </c>
      <c r="Q19" s="4"/>
    </row>
    <row r="20" spans="1:17" x14ac:dyDescent="0.3">
      <c r="A20" s="16" t="s">
        <v>7</v>
      </c>
      <c r="B20" s="17">
        <f t="shared" si="0"/>
        <v>0</v>
      </c>
      <c r="C20" s="18" t="s">
        <v>8</v>
      </c>
      <c r="D20" s="19">
        <f t="shared" si="1"/>
        <v>0</v>
      </c>
      <c r="E20" s="20" t="s">
        <v>9</v>
      </c>
      <c r="F20" s="21">
        <f t="shared" si="4"/>
        <v>4</v>
      </c>
      <c r="G20" s="22" t="s">
        <v>10</v>
      </c>
      <c r="H20" s="23">
        <f t="shared" si="2"/>
        <v>1</v>
      </c>
      <c r="I20" s="24">
        <v>3</v>
      </c>
      <c r="J20" s="24">
        <v>16.97</v>
      </c>
      <c r="K20" s="25">
        <v>3.5</v>
      </c>
      <c r="L20" s="42">
        <f t="shared" si="3"/>
        <v>3.0175999915659704</v>
      </c>
      <c r="M20" s="42">
        <f t="shared" si="5"/>
        <v>0.48240000843402964</v>
      </c>
      <c r="N20" s="42">
        <f t="shared" si="6"/>
        <v>0.23270976813715186</v>
      </c>
      <c r="Q20" s="3" t="s">
        <v>27</v>
      </c>
    </row>
    <row r="21" spans="1:17" x14ac:dyDescent="0.3">
      <c r="A21" s="16" t="s">
        <v>11</v>
      </c>
      <c r="B21" s="17">
        <f t="shared" si="0"/>
        <v>1</v>
      </c>
      <c r="C21" s="18" t="s">
        <v>8</v>
      </c>
      <c r="D21" s="19">
        <f t="shared" si="1"/>
        <v>0</v>
      </c>
      <c r="E21" s="20" t="s">
        <v>21</v>
      </c>
      <c r="F21" s="21">
        <f t="shared" si="4"/>
        <v>3</v>
      </c>
      <c r="G21" s="22" t="s">
        <v>10</v>
      </c>
      <c r="H21" s="23">
        <f t="shared" si="2"/>
        <v>1</v>
      </c>
      <c r="I21" s="24">
        <v>3</v>
      </c>
      <c r="J21" s="24">
        <v>20.65</v>
      </c>
      <c r="K21" s="25">
        <v>3.35</v>
      </c>
      <c r="L21" s="42">
        <f t="shared" si="3"/>
        <v>3.1528928547279804</v>
      </c>
      <c r="M21" s="42">
        <f t="shared" si="5"/>
        <v>0.19710714527201967</v>
      </c>
      <c r="N21" s="42">
        <f t="shared" si="6"/>
        <v>3.8851226717285067E-2</v>
      </c>
      <c r="Q21" s="4" t="s">
        <v>0</v>
      </c>
    </row>
    <row r="22" spans="1:17" x14ac:dyDescent="0.3">
      <c r="A22" s="16" t="s">
        <v>11</v>
      </c>
      <c r="B22" s="17">
        <f t="shared" si="0"/>
        <v>1</v>
      </c>
      <c r="C22" s="18" t="s">
        <v>8</v>
      </c>
      <c r="D22" s="19">
        <f t="shared" si="1"/>
        <v>0</v>
      </c>
      <c r="E22" s="20" t="s">
        <v>21</v>
      </c>
      <c r="F22" s="21">
        <f t="shared" si="4"/>
        <v>3</v>
      </c>
      <c r="G22" s="22" t="s">
        <v>10</v>
      </c>
      <c r="H22" s="23">
        <f t="shared" si="2"/>
        <v>1</v>
      </c>
      <c r="I22" s="24">
        <v>2</v>
      </c>
      <c r="J22" s="24">
        <v>17.920000000000002</v>
      </c>
      <c r="K22" s="25">
        <v>4.08</v>
      </c>
      <c r="L22" s="42">
        <f t="shared" si="3"/>
        <v>2.8425481439467264</v>
      </c>
      <c r="M22" s="42">
        <f t="shared" si="5"/>
        <v>1.2374518560532737</v>
      </c>
      <c r="N22" s="42">
        <f t="shared" si="6"/>
        <v>1.531287096049692</v>
      </c>
      <c r="Q22" s="4" t="s">
        <v>1</v>
      </c>
    </row>
    <row r="23" spans="1:17" x14ac:dyDescent="0.3">
      <c r="A23" s="16" t="s">
        <v>7</v>
      </c>
      <c r="B23" s="17">
        <f t="shared" si="0"/>
        <v>0</v>
      </c>
      <c r="C23" s="18" t="s">
        <v>8</v>
      </c>
      <c r="D23" s="19">
        <f t="shared" si="1"/>
        <v>0</v>
      </c>
      <c r="E23" s="20" t="s">
        <v>21</v>
      </c>
      <c r="F23" s="21">
        <f t="shared" si="4"/>
        <v>3</v>
      </c>
      <c r="G23" s="22" t="s">
        <v>10</v>
      </c>
      <c r="H23" s="23">
        <f t="shared" si="2"/>
        <v>1</v>
      </c>
      <c r="I23" s="24">
        <v>2</v>
      </c>
      <c r="J23" s="24">
        <v>20.29</v>
      </c>
      <c r="K23" s="25">
        <v>2.75</v>
      </c>
      <c r="L23" s="42">
        <f t="shared" si="3"/>
        <v>3.1025851978127368</v>
      </c>
      <c r="M23" s="42">
        <f t="shared" si="5"/>
        <v>-0.35258519781273678</v>
      </c>
      <c r="N23" s="42">
        <f t="shared" si="6"/>
        <v>0.12431632171664672</v>
      </c>
      <c r="Q23" s="4" t="s">
        <v>2</v>
      </c>
    </row>
    <row r="24" spans="1:17" x14ac:dyDescent="0.3">
      <c r="A24" s="16" t="s">
        <v>7</v>
      </c>
      <c r="B24" s="17">
        <f t="shared" si="0"/>
        <v>0</v>
      </c>
      <c r="C24" s="18" t="s">
        <v>8</v>
      </c>
      <c r="D24" s="19">
        <f t="shared" si="1"/>
        <v>0</v>
      </c>
      <c r="E24" s="20" t="s">
        <v>21</v>
      </c>
      <c r="F24" s="21">
        <f t="shared" si="4"/>
        <v>3</v>
      </c>
      <c r="G24" s="22" t="s">
        <v>10</v>
      </c>
      <c r="H24" s="23">
        <f t="shared" si="2"/>
        <v>1</v>
      </c>
      <c r="I24" s="24">
        <v>2</v>
      </c>
      <c r="J24" s="24">
        <v>15.77</v>
      </c>
      <c r="K24" s="25">
        <v>2.23</v>
      </c>
      <c r="L24" s="42">
        <f t="shared" si="3"/>
        <v>2.676514093707095</v>
      </c>
      <c r="M24" s="42">
        <f t="shared" si="5"/>
        <v>-0.44651409370709505</v>
      </c>
      <c r="N24" s="42">
        <f t="shared" si="6"/>
        <v>0.19937483587906846</v>
      </c>
      <c r="Q24" s="4" t="s">
        <v>3</v>
      </c>
    </row>
    <row r="25" spans="1:17" x14ac:dyDescent="0.3">
      <c r="A25" s="16" t="s">
        <v>11</v>
      </c>
      <c r="B25" s="17">
        <f t="shared" si="0"/>
        <v>1</v>
      </c>
      <c r="C25" s="18" t="s">
        <v>8</v>
      </c>
      <c r="D25" s="19">
        <f t="shared" si="1"/>
        <v>0</v>
      </c>
      <c r="E25" s="20" t="s">
        <v>21</v>
      </c>
      <c r="F25" s="21">
        <f t="shared" si="4"/>
        <v>3</v>
      </c>
      <c r="G25" s="22" t="s">
        <v>10</v>
      </c>
      <c r="H25" s="23">
        <f t="shared" si="2"/>
        <v>1</v>
      </c>
      <c r="I25" s="24">
        <v>4</v>
      </c>
      <c r="J25" s="24">
        <v>39.42</v>
      </c>
      <c r="K25" s="25">
        <v>7.58</v>
      </c>
      <c r="L25" s="42">
        <f t="shared" si="3"/>
        <v>4.9752244039726197</v>
      </c>
      <c r="M25" s="42">
        <f t="shared" si="5"/>
        <v>2.6047755960273804</v>
      </c>
      <c r="N25" s="42">
        <f t="shared" si="6"/>
        <v>6.7848559056597946</v>
      </c>
      <c r="Q25" s="4" t="s">
        <v>4</v>
      </c>
    </row>
    <row r="26" spans="1:17" x14ac:dyDescent="0.3">
      <c r="A26" s="16" t="s">
        <v>11</v>
      </c>
      <c r="B26" s="17">
        <f t="shared" si="0"/>
        <v>1</v>
      </c>
      <c r="C26" s="18" t="s">
        <v>8</v>
      </c>
      <c r="D26" s="19">
        <f t="shared" si="1"/>
        <v>0</v>
      </c>
      <c r="E26" s="20" t="s">
        <v>21</v>
      </c>
      <c r="F26" s="21">
        <f t="shared" si="4"/>
        <v>3</v>
      </c>
      <c r="G26" s="22" t="s">
        <v>10</v>
      </c>
      <c r="H26" s="23">
        <f t="shared" si="2"/>
        <v>1</v>
      </c>
      <c r="I26" s="24">
        <v>2</v>
      </c>
      <c r="J26" s="24">
        <v>19.82</v>
      </c>
      <c r="K26" s="25">
        <v>3.18</v>
      </c>
      <c r="L26" s="42">
        <f t="shared" si="3"/>
        <v>3.0216488293008674</v>
      </c>
      <c r="M26" s="42">
        <f t="shared" si="5"/>
        <v>0.15835117069913274</v>
      </c>
      <c r="N26" s="42">
        <f t="shared" si="6"/>
        <v>2.5075093261785874E-2</v>
      </c>
      <c r="Q26" s="5" t="s">
        <v>18</v>
      </c>
    </row>
    <row r="27" spans="1:17" x14ac:dyDescent="0.3">
      <c r="A27" s="16" t="s">
        <v>11</v>
      </c>
      <c r="B27" s="17">
        <f t="shared" si="0"/>
        <v>1</v>
      </c>
      <c r="C27" s="18" t="s">
        <v>8</v>
      </c>
      <c r="D27" s="19">
        <f t="shared" si="1"/>
        <v>0</v>
      </c>
      <c r="E27" s="20" t="s">
        <v>21</v>
      </c>
      <c r="F27" s="21">
        <f t="shared" si="4"/>
        <v>3</v>
      </c>
      <c r="G27" s="22" t="s">
        <v>10</v>
      </c>
      <c r="H27" s="23">
        <f t="shared" si="2"/>
        <v>1</v>
      </c>
      <c r="I27" s="24">
        <v>4</v>
      </c>
      <c r="J27" s="24">
        <v>17.809999999999999</v>
      </c>
      <c r="K27" s="25">
        <v>2.34</v>
      </c>
      <c r="L27" s="42">
        <f t="shared" si="3"/>
        <v>2.9381897668657784</v>
      </c>
      <c r="M27" s="42">
        <f t="shared" si="5"/>
        <v>-0.59818976686577852</v>
      </c>
      <c r="N27" s="42">
        <f t="shared" si="6"/>
        <v>0.35783099718293443</v>
      </c>
    </row>
    <row r="28" spans="1:17" x14ac:dyDescent="0.3">
      <c r="A28" s="16" t="s">
        <v>11</v>
      </c>
      <c r="B28" s="17">
        <f t="shared" si="0"/>
        <v>1</v>
      </c>
      <c r="C28" s="18" t="s">
        <v>8</v>
      </c>
      <c r="D28" s="19">
        <f t="shared" si="1"/>
        <v>0</v>
      </c>
      <c r="E28" s="20" t="s">
        <v>21</v>
      </c>
      <c r="F28" s="21">
        <f t="shared" si="4"/>
        <v>3</v>
      </c>
      <c r="G28" s="22" t="s">
        <v>10</v>
      </c>
      <c r="H28" s="23">
        <f t="shared" si="2"/>
        <v>1</v>
      </c>
      <c r="I28" s="24">
        <v>2</v>
      </c>
      <c r="J28" s="24">
        <v>13.37</v>
      </c>
      <c r="K28" s="25">
        <v>2</v>
      </c>
      <c r="L28" s="42">
        <f t="shared" si="3"/>
        <v>2.4136491342828608</v>
      </c>
      <c r="M28" s="42">
        <f t="shared" si="5"/>
        <v>-0.41364913428286076</v>
      </c>
      <c r="N28" s="42">
        <f t="shared" si="6"/>
        <v>0.17110560629296018</v>
      </c>
      <c r="Q28" s="2" t="s">
        <v>31</v>
      </c>
    </row>
    <row r="29" spans="1:17" x14ac:dyDescent="0.3">
      <c r="A29" s="16" t="s">
        <v>11</v>
      </c>
      <c r="B29" s="17">
        <f t="shared" si="0"/>
        <v>1</v>
      </c>
      <c r="C29" s="18" t="s">
        <v>8</v>
      </c>
      <c r="D29" s="19">
        <f t="shared" si="1"/>
        <v>0</v>
      </c>
      <c r="E29" s="20" t="s">
        <v>21</v>
      </c>
      <c r="F29" s="21">
        <f t="shared" si="4"/>
        <v>3</v>
      </c>
      <c r="G29" s="22" t="s">
        <v>10</v>
      </c>
      <c r="H29" s="23">
        <f t="shared" si="2"/>
        <v>1</v>
      </c>
      <c r="I29" s="24">
        <v>2</v>
      </c>
      <c r="J29" s="24">
        <v>12.69</v>
      </c>
      <c r="K29" s="25">
        <v>2</v>
      </c>
      <c r="L29" s="42">
        <f t="shared" si="3"/>
        <v>2.3495499416297996</v>
      </c>
      <c r="M29" s="42">
        <f t="shared" si="5"/>
        <v>-0.34954994162979958</v>
      </c>
      <c r="N29" s="42">
        <f t="shared" si="6"/>
        <v>0.12218516169339629</v>
      </c>
      <c r="Q29" s="5" t="s">
        <v>29</v>
      </c>
    </row>
    <row r="30" spans="1:17" x14ac:dyDescent="0.3">
      <c r="A30" s="16" t="s">
        <v>11</v>
      </c>
      <c r="B30" s="17">
        <f t="shared" si="0"/>
        <v>1</v>
      </c>
      <c r="C30" s="18" t="s">
        <v>8</v>
      </c>
      <c r="D30" s="19">
        <f t="shared" si="1"/>
        <v>0</v>
      </c>
      <c r="E30" s="20" t="s">
        <v>21</v>
      </c>
      <c r="F30" s="21">
        <f t="shared" si="4"/>
        <v>3</v>
      </c>
      <c r="G30" s="22" t="s">
        <v>10</v>
      </c>
      <c r="H30" s="23">
        <f t="shared" si="2"/>
        <v>1</v>
      </c>
      <c r="I30" s="24">
        <v>2</v>
      </c>
      <c r="J30" s="24">
        <v>21.7</v>
      </c>
      <c r="K30" s="25">
        <v>4.3</v>
      </c>
      <c r="L30" s="42">
        <f t="shared" si="3"/>
        <v>3.1988642442828601</v>
      </c>
      <c r="M30" s="42">
        <f t="shared" si="5"/>
        <v>1.1011357557171397</v>
      </c>
      <c r="N30" s="42">
        <f t="shared" si="6"/>
        <v>1.2124999525187565</v>
      </c>
    </row>
    <row r="31" spans="1:17" x14ac:dyDescent="0.3">
      <c r="A31" s="16" t="s">
        <v>7</v>
      </c>
      <c r="B31" s="17">
        <f t="shared" si="0"/>
        <v>0</v>
      </c>
      <c r="C31" s="18" t="s">
        <v>8</v>
      </c>
      <c r="D31" s="19">
        <f t="shared" si="1"/>
        <v>0</v>
      </c>
      <c r="E31" s="20" t="s">
        <v>21</v>
      </c>
      <c r="F31" s="21">
        <f t="shared" si="4"/>
        <v>3</v>
      </c>
      <c r="G31" s="22" t="s">
        <v>10</v>
      </c>
      <c r="H31" s="23">
        <f t="shared" si="2"/>
        <v>1</v>
      </c>
      <c r="I31" s="24">
        <v>2</v>
      </c>
      <c r="J31" s="24">
        <v>19.649999999999999</v>
      </c>
      <c r="K31" s="25">
        <v>3</v>
      </c>
      <c r="L31" s="42">
        <f t="shared" si="3"/>
        <v>3.0422565459039737</v>
      </c>
      <c r="M31" s="42">
        <f t="shared" si="5"/>
        <v>-4.2256545903973652E-2</v>
      </c>
      <c r="N31" s="42">
        <f t="shared" si="6"/>
        <v>1.7856156717346325E-3</v>
      </c>
      <c r="P31" s="27" t="s">
        <v>36</v>
      </c>
      <c r="Q31" s="27" t="s">
        <v>37</v>
      </c>
    </row>
    <row r="32" spans="1:17" x14ac:dyDescent="0.3">
      <c r="A32" s="16" t="s">
        <v>11</v>
      </c>
      <c r="B32" s="17">
        <f t="shared" si="0"/>
        <v>1</v>
      </c>
      <c r="C32" s="18" t="s">
        <v>8</v>
      </c>
      <c r="D32" s="19">
        <f t="shared" si="1"/>
        <v>0</v>
      </c>
      <c r="E32" s="20" t="s">
        <v>21</v>
      </c>
      <c r="F32" s="21">
        <f t="shared" si="4"/>
        <v>3</v>
      </c>
      <c r="G32" s="22" t="s">
        <v>10</v>
      </c>
      <c r="H32" s="23">
        <f t="shared" si="2"/>
        <v>1</v>
      </c>
      <c r="I32" s="24">
        <v>2</v>
      </c>
      <c r="J32" s="24">
        <v>9.5500000000000007</v>
      </c>
      <c r="K32" s="25">
        <v>1.45</v>
      </c>
      <c r="L32" s="42">
        <f t="shared" si="3"/>
        <v>2.053562493202429</v>
      </c>
      <c r="M32" s="42">
        <f t="shared" si="5"/>
        <v>-0.60356249320242905</v>
      </c>
      <c r="N32" s="42">
        <f t="shared" si="6"/>
        <v>0.36428768320073224</v>
      </c>
      <c r="P32" s="26" t="s">
        <v>32</v>
      </c>
      <c r="Q32" s="26">
        <f>CORREL(B1:B244, K1:K244)</f>
        <v>8.5273975201494573E-2</v>
      </c>
    </row>
    <row r="33" spans="1:24" x14ac:dyDescent="0.3">
      <c r="A33" s="16" t="s">
        <v>11</v>
      </c>
      <c r="B33" s="17">
        <f t="shared" si="0"/>
        <v>1</v>
      </c>
      <c r="C33" s="18" t="s">
        <v>8</v>
      </c>
      <c r="D33" s="19">
        <f t="shared" si="1"/>
        <v>0</v>
      </c>
      <c r="E33" s="20" t="s">
        <v>21</v>
      </c>
      <c r="F33" s="21">
        <f t="shared" si="4"/>
        <v>3</v>
      </c>
      <c r="G33" s="22" t="s">
        <v>10</v>
      </c>
      <c r="H33" s="23">
        <f t="shared" si="2"/>
        <v>1</v>
      </c>
      <c r="I33" s="24">
        <v>4</v>
      </c>
      <c r="J33" s="24">
        <v>18.350000000000001</v>
      </c>
      <c r="K33" s="25">
        <v>2.5</v>
      </c>
      <c r="L33" s="42">
        <f t="shared" si="3"/>
        <v>2.9890920669137979</v>
      </c>
      <c r="M33" s="42">
        <f t="shared" si="5"/>
        <v>-0.48909206691379792</v>
      </c>
      <c r="N33" s="42">
        <f t="shared" si="6"/>
        <v>0.23921104991801098</v>
      </c>
      <c r="P33" s="26" t="s">
        <v>33</v>
      </c>
      <c r="Q33" s="26">
        <f>CORREL(D1:D244, K1:K244)</f>
        <v>9.7627499908010239E-3</v>
      </c>
    </row>
    <row r="34" spans="1:24" x14ac:dyDescent="0.3">
      <c r="A34" s="16" t="s">
        <v>7</v>
      </c>
      <c r="B34" s="17">
        <f t="shared" si="0"/>
        <v>0</v>
      </c>
      <c r="C34" s="18" t="s">
        <v>8</v>
      </c>
      <c r="D34" s="19">
        <f t="shared" si="1"/>
        <v>0</v>
      </c>
      <c r="E34" s="20" t="s">
        <v>21</v>
      </c>
      <c r="F34" s="21">
        <f t="shared" si="4"/>
        <v>3</v>
      </c>
      <c r="G34" s="22" t="s">
        <v>10</v>
      </c>
      <c r="H34" s="23">
        <f t="shared" si="2"/>
        <v>1</v>
      </c>
      <c r="I34" s="24">
        <v>2</v>
      </c>
      <c r="J34" s="24">
        <v>15.06</v>
      </c>
      <c r="K34" s="25">
        <v>3</v>
      </c>
      <c r="L34" s="42">
        <f t="shared" si="3"/>
        <v>2.6095869954958104</v>
      </c>
      <c r="M34" s="42">
        <f t="shared" si="5"/>
        <v>0.39041300450418959</v>
      </c>
      <c r="N34" s="42">
        <f t="shared" si="6"/>
        <v>0.15242231408598836</v>
      </c>
      <c r="P34" s="26" t="s">
        <v>34</v>
      </c>
      <c r="Q34" s="26">
        <f>CORREL(F1:F244, K1:K244)</f>
        <v>0.13179752636389336</v>
      </c>
    </row>
    <row r="35" spans="1:24" ht="24" customHeight="1" x14ac:dyDescent="0.3">
      <c r="A35" s="16" t="s">
        <v>7</v>
      </c>
      <c r="B35" s="17">
        <f t="shared" si="0"/>
        <v>0</v>
      </c>
      <c r="C35" s="18" t="s">
        <v>8</v>
      </c>
      <c r="D35" s="19">
        <f t="shared" si="1"/>
        <v>0</v>
      </c>
      <c r="E35" s="20" t="s">
        <v>21</v>
      </c>
      <c r="F35" s="21">
        <f t="shared" si="4"/>
        <v>3</v>
      </c>
      <c r="G35" s="22" t="s">
        <v>10</v>
      </c>
      <c r="H35" s="23">
        <f t="shared" si="2"/>
        <v>1</v>
      </c>
      <c r="I35" s="24">
        <v>4</v>
      </c>
      <c r="J35" s="24">
        <v>20.69</v>
      </c>
      <c r="K35" s="25">
        <v>2.4500000000000002</v>
      </c>
      <c r="L35" s="42">
        <f t="shared" si="3"/>
        <v>3.2463012152215853</v>
      </c>
      <c r="M35" s="42">
        <f t="shared" si="5"/>
        <v>-0.79630121522158515</v>
      </c>
      <c r="N35" s="42">
        <f t="shared" si="6"/>
        <v>0.63409562536337327</v>
      </c>
      <c r="P35" s="26" t="s">
        <v>35</v>
      </c>
      <c r="Q35" s="26">
        <f>CORREL(H1:H244, K1:K244)</f>
        <v>0.117596390271059</v>
      </c>
    </row>
    <row r="36" spans="1:24" x14ac:dyDescent="0.3">
      <c r="A36" s="16" t="s">
        <v>11</v>
      </c>
      <c r="B36" s="17">
        <f t="shared" si="0"/>
        <v>1</v>
      </c>
      <c r="C36" s="18" t="s">
        <v>8</v>
      </c>
      <c r="D36" s="19">
        <f t="shared" si="1"/>
        <v>0</v>
      </c>
      <c r="E36" s="20" t="s">
        <v>21</v>
      </c>
      <c r="F36" s="21">
        <f t="shared" si="4"/>
        <v>3</v>
      </c>
      <c r="G36" s="22" t="s">
        <v>10</v>
      </c>
      <c r="H36" s="23">
        <f t="shared" si="2"/>
        <v>1</v>
      </c>
      <c r="I36" s="24">
        <v>2</v>
      </c>
      <c r="J36" s="24">
        <v>17.78</v>
      </c>
      <c r="K36" s="25">
        <v>3.27</v>
      </c>
      <c r="L36" s="42">
        <f t="shared" si="3"/>
        <v>2.8293512513416843</v>
      </c>
      <c r="M36" s="42">
        <f t="shared" si="5"/>
        <v>0.44064874865831571</v>
      </c>
      <c r="N36" s="42">
        <f t="shared" si="6"/>
        <v>0.1941713196941395</v>
      </c>
      <c r="P36" s="26" t="s">
        <v>4</v>
      </c>
      <c r="Q36" s="26">
        <f>CORREL(I1:I244, K1:K244)</f>
        <v>0.48840039467488378</v>
      </c>
    </row>
    <row r="37" spans="1:24" x14ac:dyDescent="0.3">
      <c r="A37" s="16" t="s">
        <v>11</v>
      </c>
      <c r="B37" s="17">
        <f t="shared" si="0"/>
        <v>1</v>
      </c>
      <c r="C37" s="18" t="s">
        <v>8</v>
      </c>
      <c r="D37" s="19">
        <f t="shared" si="1"/>
        <v>0</v>
      </c>
      <c r="E37" s="20" t="s">
        <v>21</v>
      </c>
      <c r="F37" s="21">
        <f t="shared" si="4"/>
        <v>3</v>
      </c>
      <c r="G37" s="22" t="s">
        <v>10</v>
      </c>
      <c r="H37" s="23">
        <f t="shared" si="2"/>
        <v>1</v>
      </c>
      <c r="I37" s="24">
        <v>3</v>
      </c>
      <c r="J37" s="24">
        <v>24.06</v>
      </c>
      <c r="K37" s="25">
        <v>3.6</v>
      </c>
      <c r="L37" s="42">
        <f t="shared" si="3"/>
        <v>3.474331453179361</v>
      </c>
      <c r="M37" s="42">
        <f t="shared" si="5"/>
        <v>0.1256685468206391</v>
      </c>
      <c r="N37" s="42">
        <f t="shared" si="6"/>
        <v>1.5792583660011163E-2</v>
      </c>
      <c r="P37" s="1" t="s">
        <v>18</v>
      </c>
      <c r="Q37" s="26">
        <f>CORREL(J1:J244, K1:K244)</f>
        <v>0.6749978565456074</v>
      </c>
    </row>
    <row r="38" spans="1:24" x14ac:dyDescent="0.3">
      <c r="A38" s="16" t="s">
        <v>11</v>
      </c>
      <c r="B38" s="17">
        <f t="shared" si="0"/>
        <v>1</v>
      </c>
      <c r="C38" s="18" t="s">
        <v>8</v>
      </c>
      <c r="D38" s="19">
        <f t="shared" si="1"/>
        <v>0</v>
      </c>
      <c r="E38" s="20" t="s">
        <v>21</v>
      </c>
      <c r="F38" s="21">
        <f t="shared" si="4"/>
        <v>3</v>
      </c>
      <c r="G38" s="22" t="s">
        <v>10</v>
      </c>
      <c r="H38" s="23">
        <f t="shared" si="2"/>
        <v>1</v>
      </c>
      <c r="I38" s="24">
        <v>3</v>
      </c>
      <c r="J38" s="24">
        <v>16.309999999999999</v>
      </c>
      <c r="K38" s="25">
        <v>2</v>
      </c>
      <c r="L38" s="42">
        <f t="shared" si="3"/>
        <v>2.7437891839716784</v>
      </c>
      <c r="M38" s="42">
        <f t="shared" si="5"/>
        <v>-0.74378918397167837</v>
      </c>
      <c r="N38" s="42">
        <f t="shared" si="6"/>
        <v>0.55322235019325516</v>
      </c>
    </row>
    <row r="39" spans="1:24" x14ac:dyDescent="0.3">
      <c r="A39" s="16" t="s">
        <v>7</v>
      </c>
      <c r="B39" s="17">
        <f t="shared" si="0"/>
        <v>0</v>
      </c>
      <c r="C39" s="18" t="s">
        <v>8</v>
      </c>
      <c r="D39" s="19">
        <f t="shared" si="1"/>
        <v>0</v>
      </c>
      <c r="E39" s="20" t="s">
        <v>21</v>
      </c>
      <c r="F39" s="21">
        <f t="shared" si="4"/>
        <v>3</v>
      </c>
      <c r="G39" s="22" t="s">
        <v>10</v>
      </c>
      <c r="H39" s="23">
        <f t="shared" si="2"/>
        <v>1</v>
      </c>
      <c r="I39" s="24">
        <v>3</v>
      </c>
      <c r="J39" s="24">
        <v>16.93</v>
      </c>
      <c r="K39" s="25">
        <v>3.07</v>
      </c>
      <c r="L39" s="42">
        <f t="shared" si="3"/>
        <v>2.8388650802746644</v>
      </c>
      <c r="M39" s="42">
        <f t="shared" si="5"/>
        <v>0.2311349197253354</v>
      </c>
      <c r="N39" s="42">
        <f t="shared" si="6"/>
        <v>5.3423351116437236E-2</v>
      </c>
      <c r="P39" s="46" t="s">
        <v>66</v>
      </c>
      <c r="Q39" s="47"/>
      <c r="R39" s="47"/>
      <c r="S39" s="47"/>
      <c r="T39" s="47"/>
      <c r="U39" s="47"/>
      <c r="V39" s="47"/>
      <c r="W39" s="47"/>
      <c r="X39" s="48"/>
    </row>
    <row r="40" spans="1:24" x14ac:dyDescent="0.3">
      <c r="A40" s="16" t="s">
        <v>11</v>
      </c>
      <c r="B40" s="17">
        <f t="shared" si="0"/>
        <v>1</v>
      </c>
      <c r="C40" s="18" t="s">
        <v>8</v>
      </c>
      <c r="D40" s="19">
        <f t="shared" si="1"/>
        <v>0</v>
      </c>
      <c r="E40" s="20" t="s">
        <v>21</v>
      </c>
      <c r="F40" s="21">
        <f t="shared" si="4"/>
        <v>3</v>
      </c>
      <c r="G40" s="22" t="s">
        <v>10</v>
      </c>
      <c r="H40" s="23">
        <f t="shared" si="2"/>
        <v>1</v>
      </c>
      <c r="I40" s="24">
        <v>3</v>
      </c>
      <c r="J40" s="24">
        <v>18.690000000000001</v>
      </c>
      <c r="K40" s="25">
        <v>2.31</v>
      </c>
      <c r="L40" s="42">
        <f t="shared" si="3"/>
        <v>2.968136358257393</v>
      </c>
      <c r="M40" s="42">
        <f t="shared" si="5"/>
        <v>-0.65813635825739292</v>
      </c>
      <c r="N40" s="42">
        <f t="shared" si="6"/>
        <v>0.43314346606030346</v>
      </c>
    </row>
    <row r="41" spans="1:24" x14ac:dyDescent="0.3">
      <c r="A41" s="16" t="s">
        <v>11</v>
      </c>
      <c r="B41" s="17">
        <f t="shared" si="0"/>
        <v>1</v>
      </c>
      <c r="C41" s="18" t="s">
        <v>8</v>
      </c>
      <c r="D41" s="19">
        <f t="shared" si="1"/>
        <v>0</v>
      </c>
      <c r="E41" s="20" t="s">
        <v>21</v>
      </c>
      <c r="F41" s="21">
        <f t="shared" si="4"/>
        <v>3</v>
      </c>
      <c r="G41" s="22" t="s">
        <v>10</v>
      </c>
      <c r="H41" s="23">
        <f t="shared" si="2"/>
        <v>1</v>
      </c>
      <c r="I41" s="24">
        <v>3</v>
      </c>
      <c r="J41" s="24">
        <v>31.27</v>
      </c>
      <c r="K41" s="25">
        <v>5</v>
      </c>
      <c r="L41" s="42">
        <f t="shared" si="3"/>
        <v>4.1539714223390245</v>
      </c>
      <c r="M41" s="42">
        <f t="shared" si="5"/>
        <v>0.8460285776609755</v>
      </c>
      <c r="N41" s="42">
        <f t="shared" si="6"/>
        <v>0.71576435421905327</v>
      </c>
      <c r="P41" t="s">
        <v>38</v>
      </c>
    </row>
    <row r="42" spans="1:24" ht="15" thickBot="1" x14ac:dyDescent="0.35">
      <c r="A42" s="16" t="s">
        <v>11</v>
      </c>
      <c r="B42" s="17">
        <f t="shared" si="0"/>
        <v>1</v>
      </c>
      <c r="C42" s="18" t="s">
        <v>8</v>
      </c>
      <c r="D42" s="19">
        <f t="shared" si="1"/>
        <v>0</v>
      </c>
      <c r="E42" s="20" t="s">
        <v>21</v>
      </c>
      <c r="F42" s="21">
        <f t="shared" si="4"/>
        <v>3</v>
      </c>
      <c r="G42" s="22" t="s">
        <v>10</v>
      </c>
      <c r="H42" s="23">
        <f t="shared" si="2"/>
        <v>1</v>
      </c>
      <c r="I42" s="24">
        <v>3</v>
      </c>
      <c r="J42" s="24">
        <v>16.04</v>
      </c>
      <c r="K42" s="25">
        <v>2.2400000000000002</v>
      </c>
      <c r="L42" s="42">
        <f t="shared" si="3"/>
        <v>2.7183380339476688</v>
      </c>
      <c r="M42" s="42">
        <f t="shared" si="5"/>
        <v>-0.47833803394766861</v>
      </c>
      <c r="N42" s="42">
        <f t="shared" si="6"/>
        <v>0.22880727472092097</v>
      </c>
    </row>
    <row r="43" spans="1:24" x14ac:dyDescent="0.3">
      <c r="A43" s="16" t="s">
        <v>11</v>
      </c>
      <c r="B43" s="17">
        <f t="shared" si="0"/>
        <v>1</v>
      </c>
      <c r="C43" s="18" t="s">
        <v>8</v>
      </c>
      <c r="D43" s="19">
        <f t="shared" si="1"/>
        <v>0</v>
      </c>
      <c r="E43" s="20" t="s">
        <v>9</v>
      </c>
      <c r="F43" s="21">
        <f t="shared" si="4"/>
        <v>4</v>
      </c>
      <c r="G43" s="22" t="s">
        <v>10</v>
      </c>
      <c r="H43" s="23">
        <f t="shared" si="2"/>
        <v>1</v>
      </c>
      <c r="I43" s="24">
        <v>2</v>
      </c>
      <c r="J43" s="24">
        <v>17.46</v>
      </c>
      <c r="K43" s="25">
        <v>2.54</v>
      </c>
      <c r="L43" s="42">
        <f t="shared" si="3"/>
        <v>2.9741512959343104</v>
      </c>
      <c r="M43" s="42">
        <f t="shared" si="5"/>
        <v>-0.43415129593431034</v>
      </c>
      <c r="N43" s="42">
        <f t="shared" si="6"/>
        <v>0.1884873477614411</v>
      </c>
      <c r="P43" s="39" t="s">
        <v>39</v>
      </c>
      <c r="Q43" s="39"/>
    </row>
    <row r="44" spans="1:24" x14ac:dyDescent="0.3">
      <c r="A44" s="16" t="s">
        <v>11</v>
      </c>
      <c r="B44" s="17">
        <f t="shared" si="0"/>
        <v>1</v>
      </c>
      <c r="C44" s="18" t="s">
        <v>8</v>
      </c>
      <c r="D44" s="19">
        <f t="shared" si="1"/>
        <v>0</v>
      </c>
      <c r="E44" s="20" t="s">
        <v>9</v>
      </c>
      <c r="F44" s="21">
        <f t="shared" si="4"/>
        <v>4</v>
      </c>
      <c r="G44" s="22" t="s">
        <v>10</v>
      </c>
      <c r="H44" s="23">
        <f t="shared" si="2"/>
        <v>1</v>
      </c>
      <c r="I44" s="24">
        <v>2</v>
      </c>
      <c r="J44" s="24">
        <v>13.94</v>
      </c>
      <c r="K44" s="25">
        <v>3.06</v>
      </c>
      <c r="L44" s="42">
        <f t="shared" si="3"/>
        <v>2.6423437104361112</v>
      </c>
      <c r="M44" s="42">
        <f t="shared" si="5"/>
        <v>0.41765628956388889</v>
      </c>
      <c r="N44" s="42">
        <f t="shared" si="6"/>
        <v>0.17443677621227502</v>
      </c>
      <c r="P44" t="s">
        <v>40</v>
      </c>
      <c r="Q44">
        <v>0.68422646104293572</v>
      </c>
    </row>
    <row r="45" spans="1:24" x14ac:dyDescent="0.3">
      <c r="A45" s="16" t="s">
        <v>11</v>
      </c>
      <c r="B45" s="17">
        <f t="shared" si="0"/>
        <v>1</v>
      </c>
      <c r="C45" s="18" t="s">
        <v>8</v>
      </c>
      <c r="D45" s="19">
        <f t="shared" si="1"/>
        <v>0</v>
      </c>
      <c r="E45" s="20" t="s">
        <v>9</v>
      </c>
      <c r="F45" s="21">
        <f t="shared" si="4"/>
        <v>4</v>
      </c>
      <c r="G45" s="22" t="s">
        <v>10</v>
      </c>
      <c r="H45" s="23">
        <f t="shared" si="2"/>
        <v>1</v>
      </c>
      <c r="I45" s="24">
        <v>2</v>
      </c>
      <c r="J45" s="24">
        <v>9.68</v>
      </c>
      <c r="K45" s="25">
        <v>1.32</v>
      </c>
      <c r="L45" s="42">
        <f t="shared" si="3"/>
        <v>2.2407811211684048</v>
      </c>
      <c r="M45" s="42">
        <f t="shared" si="5"/>
        <v>-0.92078112116840471</v>
      </c>
      <c r="N45" s="42">
        <f t="shared" si="6"/>
        <v>0.84783787310014436</v>
      </c>
      <c r="P45" t="s">
        <v>41</v>
      </c>
      <c r="Q45">
        <v>0.46816584999134009</v>
      </c>
    </row>
    <row r="46" spans="1:24" x14ac:dyDescent="0.3">
      <c r="A46" s="16" t="s">
        <v>11</v>
      </c>
      <c r="B46" s="17">
        <f t="shared" si="0"/>
        <v>1</v>
      </c>
      <c r="C46" s="18" t="s">
        <v>8</v>
      </c>
      <c r="D46" s="19">
        <f t="shared" si="1"/>
        <v>0</v>
      </c>
      <c r="E46" s="20" t="s">
        <v>9</v>
      </c>
      <c r="F46" s="21">
        <f t="shared" si="4"/>
        <v>4</v>
      </c>
      <c r="G46" s="22" t="s">
        <v>10</v>
      </c>
      <c r="H46" s="23">
        <f t="shared" si="2"/>
        <v>1</v>
      </c>
      <c r="I46" s="24">
        <v>4</v>
      </c>
      <c r="J46" s="24">
        <v>30.4</v>
      </c>
      <c r="K46" s="25">
        <v>5.6</v>
      </c>
      <c r="L46" s="42">
        <f t="shared" si="3"/>
        <v>4.2999318366804928</v>
      </c>
      <c r="M46" s="42">
        <f t="shared" si="5"/>
        <v>1.3000681633195068</v>
      </c>
      <c r="N46" s="42">
        <f t="shared" si="6"/>
        <v>1.6901772292769559</v>
      </c>
      <c r="P46" t="s">
        <v>42</v>
      </c>
      <c r="Q46">
        <v>0.45464464278773009</v>
      </c>
    </row>
    <row r="47" spans="1:24" x14ac:dyDescent="0.3">
      <c r="A47" s="16" t="s">
        <v>11</v>
      </c>
      <c r="B47" s="17">
        <f t="shared" si="0"/>
        <v>1</v>
      </c>
      <c r="C47" s="18" t="s">
        <v>8</v>
      </c>
      <c r="D47" s="19">
        <f t="shared" si="1"/>
        <v>0</v>
      </c>
      <c r="E47" s="20" t="s">
        <v>9</v>
      </c>
      <c r="F47" s="21">
        <f t="shared" si="4"/>
        <v>4</v>
      </c>
      <c r="G47" s="22" t="s">
        <v>10</v>
      </c>
      <c r="H47" s="23">
        <f t="shared" si="2"/>
        <v>1</v>
      </c>
      <c r="I47" s="24">
        <v>2</v>
      </c>
      <c r="J47" s="24">
        <v>18.29</v>
      </c>
      <c r="K47" s="25">
        <v>3</v>
      </c>
      <c r="L47" s="42">
        <f t="shared" si="3"/>
        <v>3.0523900163784878</v>
      </c>
      <c r="M47" s="42">
        <f t="shared" si="5"/>
        <v>-5.2390016378487836E-2</v>
      </c>
      <c r="N47" s="42">
        <f t="shared" si="6"/>
        <v>2.7447138161382236E-3</v>
      </c>
      <c r="P47" t="s">
        <v>43</v>
      </c>
      <c r="Q47">
        <v>1.0227987864680839</v>
      </c>
    </row>
    <row r="48" spans="1:24" ht="15" thickBot="1" x14ac:dyDescent="0.35">
      <c r="A48" s="16" t="s">
        <v>11</v>
      </c>
      <c r="B48" s="17">
        <f t="shared" si="0"/>
        <v>1</v>
      </c>
      <c r="C48" s="18" t="s">
        <v>8</v>
      </c>
      <c r="D48" s="19">
        <f t="shared" si="1"/>
        <v>0</v>
      </c>
      <c r="E48" s="20" t="s">
        <v>9</v>
      </c>
      <c r="F48" s="21">
        <f t="shared" si="4"/>
        <v>4</v>
      </c>
      <c r="G48" s="22" t="s">
        <v>10</v>
      </c>
      <c r="H48" s="23">
        <f t="shared" si="2"/>
        <v>1</v>
      </c>
      <c r="I48" s="24">
        <v>2</v>
      </c>
      <c r="J48" s="24">
        <v>22.23</v>
      </c>
      <c r="K48" s="25">
        <v>5</v>
      </c>
      <c r="L48" s="42">
        <f t="shared" si="3"/>
        <v>3.4237882796918129</v>
      </c>
      <c r="M48" s="42">
        <f t="shared" si="5"/>
        <v>1.5762117203081871</v>
      </c>
      <c r="N48" s="42">
        <f t="shared" si="6"/>
        <v>2.4844433872368947</v>
      </c>
      <c r="P48" s="38" t="s">
        <v>44</v>
      </c>
      <c r="Q48" s="38">
        <v>243</v>
      </c>
    </row>
    <row r="49" spans="1:24" x14ac:dyDescent="0.3">
      <c r="A49" s="16" t="s">
        <v>11</v>
      </c>
      <c r="B49" s="17">
        <f t="shared" si="0"/>
        <v>1</v>
      </c>
      <c r="C49" s="18" t="s">
        <v>8</v>
      </c>
      <c r="D49" s="19">
        <f t="shared" si="1"/>
        <v>0</v>
      </c>
      <c r="E49" s="20" t="s">
        <v>9</v>
      </c>
      <c r="F49" s="21">
        <f t="shared" si="4"/>
        <v>4</v>
      </c>
      <c r="G49" s="22" t="s">
        <v>10</v>
      </c>
      <c r="H49" s="23">
        <f t="shared" si="2"/>
        <v>1</v>
      </c>
      <c r="I49" s="24">
        <v>4</v>
      </c>
      <c r="J49" s="24">
        <v>32.4</v>
      </c>
      <c r="K49" s="25">
        <v>6</v>
      </c>
      <c r="L49" s="42">
        <f t="shared" si="3"/>
        <v>4.4884588738953788</v>
      </c>
      <c r="M49" s="42">
        <f t="shared" si="5"/>
        <v>1.5115411261046212</v>
      </c>
      <c r="N49" s="42">
        <f t="shared" si="6"/>
        <v>2.2847565759056265</v>
      </c>
    </row>
    <row r="50" spans="1:24" ht="15" thickBot="1" x14ac:dyDescent="0.35">
      <c r="A50" s="16" t="s">
        <v>11</v>
      </c>
      <c r="B50" s="17">
        <f t="shared" si="0"/>
        <v>1</v>
      </c>
      <c r="C50" s="18" t="s">
        <v>8</v>
      </c>
      <c r="D50" s="19">
        <f t="shared" si="1"/>
        <v>0</v>
      </c>
      <c r="E50" s="20" t="s">
        <v>9</v>
      </c>
      <c r="F50" s="21">
        <f t="shared" si="4"/>
        <v>4</v>
      </c>
      <c r="G50" s="22" t="s">
        <v>10</v>
      </c>
      <c r="H50" s="23">
        <f t="shared" si="2"/>
        <v>1</v>
      </c>
      <c r="I50" s="24">
        <v>3</v>
      </c>
      <c r="J50" s="24">
        <v>28.55</v>
      </c>
      <c r="K50" s="25">
        <v>2.0499999999999998</v>
      </c>
      <c r="L50" s="42">
        <f t="shared" si="3"/>
        <v>4.0725390222737881</v>
      </c>
      <c r="M50" s="42">
        <f>K50-L50</f>
        <v>-2.0225390222737882</v>
      </c>
      <c r="N50" s="42">
        <f t="shared" si="6"/>
        <v>4.0906640966202117</v>
      </c>
      <c r="P50" t="s">
        <v>45</v>
      </c>
    </row>
    <row r="51" spans="1:24" x14ac:dyDescent="0.3">
      <c r="A51" s="16" t="s">
        <v>11</v>
      </c>
      <c r="B51" s="17">
        <f t="shared" si="0"/>
        <v>1</v>
      </c>
      <c r="C51" s="18" t="s">
        <v>8</v>
      </c>
      <c r="D51" s="19">
        <f t="shared" si="1"/>
        <v>0</v>
      </c>
      <c r="E51" s="20" t="s">
        <v>9</v>
      </c>
      <c r="F51" s="21">
        <f t="shared" si="4"/>
        <v>4</v>
      </c>
      <c r="G51" s="22" t="s">
        <v>10</v>
      </c>
      <c r="H51" s="23">
        <f t="shared" si="2"/>
        <v>1</v>
      </c>
      <c r="I51" s="24">
        <v>2</v>
      </c>
      <c r="J51" s="24">
        <v>18.04</v>
      </c>
      <c r="K51" s="25">
        <v>3</v>
      </c>
      <c r="L51" s="42">
        <f t="shared" si="3"/>
        <v>3.0288241367266271</v>
      </c>
      <c r="M51" s="42">
        <f t="shared" si="5"/>
        <v>-2.8824136726627092E-2</v>
      </c>
      <c r="N51" s="42">
        <f t="shared" si="6"/>
        <v>8.3083085803529273E-4</v>
      </c>
      <c r="P51" s="39"/>
      <c r="Q51" s="39" t="s">
        <v>50</v>
      </c>
      <c r="R51" s="39" t="s">
        <v>51</v>
      </c>
      <c r="S51" s="39" t="s">
        <v>52</v>
      </c>
      <c r="T51" s="39" t="s">
        <v>53</v>
      </c>
      <c r="U51" s="39" t="s">
        <v>54</v>
      </c>
    </row>
    <row r="52" spans="1:24" x14ac:dyDescent="0.3">
      <c r="A52" s="16" t="s">
        <v>11</v>
      </c>
      <c r="B52" s="17">
        <f t="shared" si="0"/>
        <v>1</v>
      </c>
      <c r="C52" s="18" t="s">
        <v>8</v>
      </c>
      <c r="D52" s="19">
        <f t="shared" si="1"/>
        <v>0</v>
      </c>
      <c r="E52" s="20" t="s">
        <v>9</v>
      </c>
      <c r="F52" s="21">
        <f t="shared" si="4"/>
        <v>4</v>
      </c>
      <c r="G52" s="22" t="s">
        <v>10</v>
      </c>
      <c r="H52" s="23">
        <f t="shared" si="2"/>
        <v>1</v>
      </c>
      <c r="I52" s="24">
        <v>2</v>
      </c>
      <c r="J52" s="24">
        <v>12.54</v>
      </c>
      <c r="K52" s="25">
        <v>2.5</v>
      </c>
      <c r="L52" s="42">
        <f t="shared" si="3"/>
        <v>2.5103747843856912</v>
      </c>
      <c r="M52" s="42">
        <f t="shared" si="5"/>
        <v>-1.0374784385691171E-2</v>
      </c>
      <c r="N52" s="42">
        <f t="shared" si="6"/>
        <v>1.0763615104958134E-4</v>
      </c>
      <c r="P52" t="s">
        <v>46</v>
      </c>
      <c r="Q52">
        <v>6</v>
      </c>
      <c r="R52">
        <v>217.32811924412201</v>
      </c>
      <c r="S52">
        <v>36.221353207353665</v>
      </c>
      <c r="T52">
        <v>34.624559992420309</v>
      </c>
      <c r="U52">
        <v>6.9884727907758078E-30</v>
      </c>
    </row>
    <row r="53" spans="1:24" x14ac:dyDescent="0.3">
      <c r="A53" s="16" t="s">
        <v>7</v>
      </c>
      <c r="B53" s="17">
        <f t="shared" si="0"/>
        <v>0</v>
      </c>
      <c r="C53" s="18" t="s">
        <v>8</v>
      </c>
      <c r="D53" s="19">
        <f t="shared" si="1"/>
        <v>0</v>
      </c>
      <c r="E53" s="20" t="s">
        <v>9</v>
      </c>
      <c r="F53" s="21">
        <f t="shared" si="4"/>
        <v>4</v>
      </c>
      <c r="G53" s="22" t="s">
        <v>10</v>
      </c>
      <c r="H53" s="23">
        <f t="shared" si="2"/>
        <v>1</v>
      </c>
      <c r="I53" s="24">
        <v>2</v>
      </c>
      <c r="J53" s="24">
        <v>10.29</v>
      </c>
      <c r="K53" s="25">
        <v>2.6</v>
      </c>
      <c r="L53" s="42">
        <f t="shared" si="3"/>
        <v>2.3349143822853158</v>
      </c>
      <c r="M53" s="42">
        <f t="shared" si="5"/>
        <v>0.26508561771468431</v>
      </c>
      <c r="N53" s="42">
        <f t="shared" si="6"/>
        <v>7.0270384719175752E-2</v>
      </c>
      <c r="P53" t="s">
        <v>47</v>
      </c>
      <c r="Q53">
        <v>236</v>
      </c>
      <c r="R53">
        <v>246.88369639373806</v>
      </c>
      <c r="S53">
        <v>1.0461173576005851</v>
      </c>
    </row>
    <row r="54" spans="1:24" ht="15" thickBot="1" x14ac:dyDescent="0.35">
      <c r="A54" s="16" t="s">
        <v>7</v>
      </c>
      <c r="B54" s="17">
        <f t="shared" si="0"/>
        <v>0</v>
      </c>
      <c r="C54" s="18" t="s">
        <v>8</v>
      </c>
      <c r="D54" s="19">
        <f t="shared" si="1"/>
        <v>0</v>
      </c>
      <c r="E54" s="20" t="s">
        <v>9</v>
      </c>
      <c r="F54" s="21">
        <f t="shared" si="4"/>
        <v>4</v>
      </c>
      <c r="G54" s="22" t="s">
        <v>10</v>
      </c>
      <c r="H54" s="23">
        <f t="shared" si="2"/>
        <v>1</v>
      </c>
      <c r="I54" s="24">
        <v>4</v>
      </c>
      <c r="J54" s="24">
        <v>34.81</v>
      </c>
      <c r="K54" s="25">
        <v>5.2</v>
      </c>
      <c r="L54" s="42">
        <f t="shared" si="3"/>
        <v>4.7522664685056863</v>
      </c>
      <c r="M54" s="42">
        <f t="shared" si="5"/>
        <v>0.44773353149431383</v>
      </c>
      <c r="N54" s="42">
        <f t="shared" si="6"/>
        <v>0.20046531522436972</v>
      </c>
      <c r="P54" s="38" t="s">
        <v>48</v>
      </c>
      <c r="Q54" s="38">
        <v>242</v>
      </c>
      <c r="R54" s="38">
        <v>464.21181563786007</v>
      </c>
      <c r="S54" s="38"/>
      <c r="T54" s="38"/>
      <c r="U54" s="38"/>
    </row>
    <row r="55" spans="1:24" ht="15" thickBot="1" x14ac:dyDescent="0.35">
      <c r="A55" s="16" t="s">
        <v>11</v>
      </c>
      <c r="B55" s="17">
        <f t="shared" si="0"/>
        <v>1</v>
      </c>
      <c r="C55" s="18" t="s">
        <v>8</v>
      </c>
      <c r="D55" s="19">
        <f t="shared" si="1"/>
        <v>0</v>
      </c>
      <c r="E55" s="20" t="s">
        <v>9</v>
      </c>
      <c r="F55" s="21">
        <f t="shared" si="4"/>
        <v>4</v>
      </c>
      <c r="G55" s="22" t="s">
        <v>10</v>
      </c>
      <c r="H55" s="23">
        <f t="shared" si="2"/>
        <v>1</v>
      </c>
      <c r="I55" s="24">
        <v>2</v>
      </c>
      <c r="J55" s="24">
        <v>9.94</v>
      </c>
      <c r="K55" s="25">
        <v>1.56</v>
      </c>
      <c r="L55" s="42">
        <f t="shared" si="3"/>
        <v>2.2652896360063397</v>
      </c>
      <c r="M55" s="42">
        <f t="shared" si="5"/>
        <v>-0.70528963600633965</v>
      </c>
      <c r="N55" s="42">
        <f t="shared" si="6"/>
        <v>0.49743347065795507</v>
      </c>
    </row>
    <row r="56" spans="1:24" x14ac:dyDescent="0.3">
      <c r="A56" s="16" t="s">
        <v>11</v>
      </c>
      <c r="B56" s="17">
        <f t="shared" si="0"/>
        <v>1</v>
      </c>
      <c r="C56" s="18" t="s">
        <v>8</v>
      </c>
      <c r="D56" s="19">
        <f t="shared" si="1"/>
        <v>0</v>
      </c>
      <c r="E56" s="20" t="s">
        <v>9</v>
      </c>
      <c r="F56" s="21">
        <f t="shared" si="4"/>
        <v>4</v>
      </c>
      <c r="G56" s="22" t="s">
        <v>10</v>
      </c>
      <c r="H56" s="23">
        <f t="shared" si="2"/>
        <v>1</v>
      </c>
      <c r="I56" s="24">
        <v>4</v>
      </c>
      <c r="J56" s="24">
        <v>25.56</v>
      </c>
      <c r="K56" s="25">
        <v>4.34</v>
      </c>
      <c r="L56" s="42">
        <f t="shared" si="3"/>
        <v>3.8436964066204689</v>
      </c>
      <c r="M56" s="42">
        <f t="shared" si="5"/>
        <v>0.49630359337953101</v>
      </c>
      <c r="N56" s="42">
        <f t="shared" si="6"/>
        <v>0.24631725680143485</v>
      </c>
      <c r="P56" s="49"/>
      <c r="Q56" s="52" t="s">
        <v>55</v>
      </c>
      <c r="R56" s="39" t="s">
        <v>43</v>
      </c>
      <c r="S56" s="39" t="s">
        <v>56</v>
      </c>
      <c r="T56" s="39" t="s">
        <v>57</v>
      </c>
      <c r="U56" s="39" t="s">
        <v>58</v>
      </c>
      <c r="V56" s="39" t="s">
        <v>59</v>
      </c>
      <c r="W56" s="39" t="s">
        <v>60</v>
      </c>
      <c r="X56" s="39" t="s">
        <v>61</v>
      </c>
    </row>
    <row r="57" spans="1:24" x14ac:dyDescent="0.3">
      <c r="A57" s="16" t="s">
        <v>11</v>
      </c>
      <c r="B57" s="17">
        <f t="shared" si="0"/>
        <v>1</v>
      </c>
      <c r="C57" s="18" t="s">
        <v>8</v>
      </c>
      <c r="D57" s="19">
        <f t="shared" si="1"/>
        <v>0</v>
      </c>
      <c r="E57" s="20" t="s">
        <v>9</v>
      </c>
      <c r="F57" s="21">
        <f t="shared" si="4"/>
        <v>4</v>
      </c>
      <c r="G57" s="22" t="s">
        <v>10</v>
      </c>
      <c r="H57" s="23">
        <f t="shared" si="2"/>
        <v>1</v>
      </c>
      <c r="I57" s="24">
        <v>2</v>
      </c>
      <c r="J57" s="24">
        <v>19.489999999999998</v>
      </c>
      <c r="K57" s="25">
        <v>3.51</v>
      </c>
      <c r="L57" s="42">
        <f t="shared" si="3"/>
        <v>3.1655062387074193</v>
      </c>
      <c r="M57" s="42">
        <f t="shared" si="5"/>
        <v>0.34449376129258047</v>
      </c>
      <c r="N57" s="42">
        <f t="shared" si="6"/>
        <v>0.11867595156950941</v>
      </c>
      <c r="P57" s="50" t="s">
        <v>49</v>
      </c>
      <c r="Q57" s="50">
        <v>0.67508094538181496</v>
      </c>
      <c r="R57">
        <v>0.25424114258453473</v>
      </c>
      <c r="S57">
        <v>2.6552781289415095</v>
      </c>
      <c r="T57">
        <v>8.4639992400777023E-3</v>
      </c>
      <c r="U57">
        <v>0.17420889768121228</v>
      </c>
      <c r="V57">
        <v>1.1759529930824177</v>
      </c>
      <c r="W57">
        <v>0.17420889768121228</v>
      </c>
      <c r="X57">
        <v>1.1759529930824177</v>
      </c>
    </row>
    <row r="58" spans="1:24" x14ac:dyDescent="0.3">
      <c r="A58" s="16" t="s">
        <v>11</v>
      </c>
      <c r="B58" s="17">
        <f t="shared" si="0"/>
        <v>1</v>
      </c>
      <c r="C58" s="18" t="s">
        <v>22</v>
      </c>
      <c r="D58" s="19">
        <f t="shared" si="1"/>
        <v>1</v>
      </c>
      <c r="E58" s="20" t="s">
        <v>21</v>
      </c>
      <c r="F58" s="21">
        <f t="shared" si="4"/>
        <v>3</v>
      </c>
      <c r="G58" s="22" t="s">
        <v>10</v>
      </c>
      <c r="H58" s="23">
        <f t="shared" si="2"/>
        <v>1</v>
      </c>
      <c r="I58" s="24">
        <v>4</v>
      </c>
      <c r="J58" s="24">
        <v>38.01</v>
      </c>
      <c r="K58" s="25">
        <v>3</v>
      </c>
      <c r="L58" s="42">
        <f t="shared" si="3"/>
        <v>4.7694685119461919</v>
      </c>
      <c r="M58" s="42">
        <f t="shared" si="5"/>
        <v>-1.7694685119461919</v>
      </c>
      <c r="N58" s="42">
        <f t="shared" si="6"/>
        <v>3.131018814769071</v>
      </c>
      <c r="P58" s="50" t="s">
        <v>32</v>
      </c>
      <c r="Q58" s="50">
        <v>-3.6632514766371221E-2</v>
      </c>
      <c r="R58">
        <v>0.14164817734611235</v>
      </c>
      <c r="S58">
        <v>-0.25861620991324835</v>
      </c>
      <c r="T58">
        <v>0.7961567853551258</v>
      </c>
      <c r="U58">
        <v>-0.31568889375827835</v>
      </c>
      <c r="V58">
        <v>0.24242386422553588</v>
      </c>
      <c r="W58">
        <v>-0.31568889375827835</v>
      </c>
      <c r="X58">
        <v>0.24242386422553588</v>
      </c>
    </row>
    <row r="59" spans="1:24" x14ac:dyDescent="0.3">
      <c r="A59" s="16" t="s">
        <v>7</v>
      </c>
      <c r="B59" s="17">
        <f t="shared" si="0"/>
        <v>0</v>
      </c>
      <c r="C59" s="18" t="s">
        <v>8</v>
      </c>
      <c r="D59" s="19">
        <f t="shared" si="1"/>
        <v>0</v>
      </c>
      <c r="E59" s="20" t="s">
        <v>21</v>
      </c>
      <c r="F59" s="21">
        <f t="shared" si="4"/>
        <v>3</v>
      </c>
      <c r="G59" s="22" t="s">
        <v>10</v>
      </c>
      <c r="H59" s="23">
        <f t="shared" si="2"/>
        <v>1</v>
      </c>
      <c r="I59" s="24">
        <v>2</v>
      </c>
      <c r="J59" s="24">
        <v>26.41</v>
      </c>
      <c r="K59" s="25">
        <v>1.5</v>
      </c>
      <c r="L59" s="42">
        <f t="shared" si="3"/>
        <v>3.679477931690287</v>
      </c>
      <c r="M59" s="42">
        <f t="shared" si="5"/>
        <v>-2.179477931690287</v>
      </c>
      <c r="N59" s="42">
        <f t="shared" si="6"/>
        <v>4.7501240547249717</v>
      </c>
      <c r="P59" s="50" t="s">
        <v>33</v>
      </c>
      <c r="Q59" s="50">
        <v>-7.2844330789933256E-2</v>
      </c>
      <c r="R59">
        <v>0.14105132937442608</v>
      </c>
      <c r="S59">
        <v>-0.51643845622018369</v>
      </c>
      <c r="T59">
        <v>0.60603178137164948</v>
      </c>
      <c r="U59">
        <v>-0.35072487937647995</v>
      </c>
      <c r="V59">
        <v>0.20503621779661346</v>
      </c>
      <c r="W59">
        <v>-0.35072487937647995</v>
      </c>
      <c r="X59">
        <v>0.20503621779661346</v>
      </c>
    </row>
    <row r="60" spans="1:24" x14ac:dyDescent="0.3">
      <c r="A60" s="16" t="s">
        <v>11</v>
      </c>
      <c r="B60" s="17">
        <f t="shared" si="0"/>
        <v>1</v>
      </c>
      <c r="C60" s="18" t="s">
        <v>22</v>
      </c>
      <c r="D60" s="19">
        <f t="shared" si="1"/>
        <v>1</v>
      </c>
      <c r="E60" s="20" t="s">
        <v>21</v>
      </c>
      <c r="F60" s="21">
        <f t="shared" si="4"/>
        <v>3</v>
      </c>
      <c r="G60" s="22" t="s">
        <v>10</v>
      </c>
      <c r="H60" s="23">
        <f t="shared" si="2"/>
        <v>1</v>
      </c>
      <c r="I60" s="24">
        <v>2</v>
      </c>
      <c r="J60" s="24">
        <v>11.24</v>
      </c>
      <c r="K60" s="25">
        <v>1.76</v>
      </c>
      <c r="L60" s="42">
        <f t="shared" si="3"/>
        <v>2.1400235088590742</v>
      </c>
      <c r="M60" s="42">
        <f t="shared" si="5"/>
        <v>-0.38002350885907421</v>
      </c>
      <c r="N60" s="42">
        <f t="shared" si="6"/>
        <v>0.14441786728556286</v>
      </c>
      <c r="P60" s="50" t="s">
        <v>34</v>
      </c>
      <c r="Q60" s="50">
        <v>5.3005304982935736E-2</v>
      </c>
      <c r="R60">
        <v>0.12058260481989183</v>
      </c>
      <c r="S60">
        <v>0.43957671226382189</v>
      </c>
      <c r="T60">
        <v>0.66064596015396393</v>
      </c>
      <c r="U60">
        <v>-0.18455048783344555</v>
      </c>
      <c r="V60">
        <v>0.29056109779931705</v>
      </c>
      <c r="W60">
        <v>-0.18455048783344555</v>
      </c>
      <c r="X60">
        <v>0.29056109779931705</v>
      </c>
    </row>
    <row r="61" spans="1:24" x14ac:dyDescent="0.3">
      <c r="A61" s="16" t="s">
        <v>11</v>
      </c>
      <c r="B61" s="17">
        <f t="shared" si="0"/>
        <v>1</v>
      </c>
      <c r="C61" s="18" t="s">
        <v>8</v>
      </c>
      <c r="D61" s="19">
        <f t="shared" si="1"/>
        <v>0</v>
      </c>
      <c r="E61" s="20" t="s">
        <v>21</v>
      </c>
      <c r="F61" s="21">
        <f t="shared" si="4"/>
        <v>3</v>
      </c>
      <c r="G61" s="22" t="s">
        <v>10</v>
      </c>
      <c r="H61" s="23">
        <f t="shared" si="2"/>
        <v>1</v>
      </c>
      <c r="I61" s="24">
        <v>4</v>
      </c>
      <c r="J61" s="24">
        <v>48.27</v>
      </c>
      <c r="K61" s="25">
        <v>6.73</v>
      </c>
      <c r="L61" s="42">
        <f t="shared" si="3"/>
        <v>5.8094565436484888</v>
      </c>
      <c r="M61" s="42">
        <f t="shared" si="5"/>
        <v>0.92054345635151158</v>
      </c>
      <c r="N61" s="42">
        <f t="shared" si="6"/>
        <v>0.84740025503158733</v>
      </c>
      <c r="P61" s="50" t="s">
        <v>35</v>
      </c>
      <c r="Q61" s="50">
        <v>-0.11600626172099011</v>
      </c>
      <c r="R61">
        <v>0.30855321573390115</v>
      </c>
      <c r="S61">
        <v>-0.37596840935547038</v>
      </c>
      <c r="T61">
        <v>0.70727812423530267</v>
      </c>
      <c r="U61">
        <v>-0.72387672445641749</v>
      </c>
      <c r="V61">
        <v>0.49186420101443723</v>
      </c>
      <c r="W61">
        <v>-0.72387672445641749</v>
      </c>
      <c r="X61">
        <v>0.49186420101443723</v>
      </c>
    </row>
    <row r="62" spans="1:24" x14ac:dyDescent="0.3">
      <c r="A62" s="16" t="s">
        <v>11</v>
      </c>
      <c r="B62" s="17">
        <f t="shared" si="0"/>
        <v>1</v>
      </c>
      <c r="C62" s="18" t="s">
        <v>22</v>
      </c>
      <c r="D62" s="19">
        <f t="shared" si="1"/>
        <v>1</v>
      </c>
      <c r="E62" s="20" t="s">
        <v>21</v>
      </c>
      <c r="F62" s="21">
        <f t="shared" si="4"/>
        <v>3</v>
      </c>
      <c r="G62" s="22" t="s">
        <v>10</v>
      </c>
      <c r="H62" s="23">
        <f t="shared" si="2"/>
        <v>1</v>
      </c>
      <c r="I62" s="24">
        <v>2</v>
      </c>
      <c r="J62" s="24">
        <v>20.29</v>
      </c>
      <c r="K62" s="25">
        <v>3.21</v>
      </c>
      <c r="L62" s="42">
        <f t="shared" si="3"/>
        <v>2.9931083522564323</v>
      </c>
      <c r="M62" s="42">
        <f t="shared" si="5"/>
        <v>0.21689164774356762</v>
      </c>
      <c r="N62" s="42">
        <f t="shared" si="6"/>
        <v>4.7041986860919822E-2</v>
      </c>
      <c r="P62" s="50" t="s">
        <v>4</v>
      </c>
      <c r="Q62" s="50">
        <v>0.17496437054700811</v>
      </c>
      <c r="R62">
        <v>8.9368964901146986E-2</v>
      </c>
      <c r="S62">
        <v>1.9577755067493523</v>
      </c>
      <c r="T62">
        <v>5.1434839462502886E-2</v>
      </c>
      <c r="U62">
        <v>-1.0984649007886871E-3</v>
      </c>
      <c r="V62">
        <v>0.35102720599480491</v>
      </c>
      <c r="W62">
        <v>-1.0984649007886871E-3</v>
      </c>
      <c r="X62">
        <v>0.35102720599480491</v>
      </c>
    </row>
    <row r="63" spans="1:24" ht="15" thickBot="1" x14ac:dyDescent="0.35">
      <c r="A63" s="16" t="s">
        <v>11</v>
      </c>
      <c r="B63" s="17">
        <f t="shared" si="0"/>
        <v>1</v>
      </c>
      <c r="C63" s="18" t="s">
        <v>22</v>
      </c>
      <c r="D63" s="19">
        <f t="shared" si="1"/>
        <v>1</v>
      </c>
      <c r="E63" s="20" t="s">
        <v>21</v>
      </c>
      <c r="F63" s="21">
        <f t="shared" si="4"/>
        <v>3</v>
      </c>
      <c r="G63" s="22" t="s">
        <v>10</v>
      </c>
      <c r="H63" s="23">
        <f t="shared" si="2"/>
        <v>1</v>
      </c>
      <c r="I63" s="24">
        <v>2</v>
      </c>
      <c r="J63" s="24">
        <v>13.81</v>
      </c>
      <c r="K63" s="25">
        <v>2</v>
      </c>
      <c r="L63" s="42">
        <f t="shared" si="3"/>
        <v>2.3822807516802023</v>
      </c>
      <c r="M63" s="42">
        <f t="shared" si="5"/>
        <v>-0.38228075168020226</v>
      </c>
      <c r="N63" s="42">
        <f t="shared" si="6"/>
        <v>0.14613857310518047</v>
      </c>
      <c r="P63" s="51" t="s">
        <v>5</v>
      </c>
      <c r="Q63" s="51">
        <v>9.4263518607442878E-2</v>
      </c>
      <c r="R63" s="38">
        <v>9.5613713006104089E-3</v>
      </c>
      <c r="S63" s="38">
        <v>9.8587865321604014</v>
      </c>
      <c r="T63" s="38">
        <v>2.0105695796112259E-19</v>
      </c>
      <c r="U63" s="38">
        <v>7.5426977937908368E-2</v>
      </c>
      <c r="V63" s="38">
        <v>0.11310005927697739</v>
      </c>
      <c r="W63" s="38">
        <v>7.5426977937908368E-2</v>
      </c>
      <c r="X63" s="38">
        <v>0.11310005927697739</v>
      </c>
    </row>
    <row r="64" spans="1:24" x14ac:dyDescent="0.3">
      <c r="A64" s="16" t="s">
        <v>11</v>
      </c>
      <c r="B64" s="17">
        <f t="shared" si="0"/>
        <v>1</v>
      </c>
      <c r="C64" s="18" t="s">
        <v>22</v>
      </c>
      <c r="D64" s="19">
        <f t="shared" si="1"/>
        <v>1</v>
      </c>
      <c r="E64" s="20" t="s">
        <v>21</v>
      </c>
      <c r="F64" s="21">
        <f t="shared" si="4"/>
        <v>3</v>
      </c>
      <c r="G64" s="22" t="s">
        <v>10</v>
      </c>
      <c r="H64" s="23">
        <f t="shared" si="2"/>
        <v>1</v>
      </c>
      <c r="I64" s="24">
        <v>2</v>
      </c>
      <c r="J64" s="24">
        <v>11.02</v>
      </c>
      <c r="K64" s="25">
        <v>1.98</v>
      </c>
      <c r="L64" s="42">
        <f t="shared" si="3"/>
        <v>2.1192855347654369</v>
      </c>
      <c r="M64" s="42">
        <f t="shared" si="5"/>
        <v>-0.13928553476543692</v>
      </c>
      <c r="N64" s="42">
        <f t="shared" si="6"/>
        <v>1.9400460194893738E-2</v>
      </c>
    </row>
    <row r="65" spans="1:18" x14ac:dyDescent="0.3">
      <c r="A65" s="16" t="s">
        <v>11</v>
      </c>
      <c r="B65" s="17">
        <f t="shared" si="0"/>
        <v>1</v>
      </c>
      <c r="C65" s="18" t="s">
        <v>22</v>
      </c>
      <c r="D65" s="19">
        <f t="shared" si="1"/>
        <v>1</v>
      </c>
      <c r="E65" s="20" t="s">
        <v>21</v>
      </c>
      <c r="F65" s="21">
        <f t="shared" si="4"/>
        <v>3</v>
      </c>
      <c r="G65" s="22" t="s">
        <v>10</v>
      </c>
      <c r="H65" s="23">
        <f t="shared" si="2"/>
        <v>1</v>
      </c>
      <c r="I65" s="24">
        <v>4</v>
      </c>
      <c r="J65" s="24">
        <v>18.29</v>
      </c>
      <c r="K65" s="25">
        <v>3.76</v>
      </c>
      <c r="L65" s="42">
        <f t="shared" si="3"/>
        <v>2.9105919250074179</v>
      </c>
      <c r="M65" s="42">
        <f t="shared" si="5"/>
        <v>0.84940807499258186</v>
      </c>
      <c r="N65" s="42">
        <f t="shared" si="6"/>
        <v>0.72149407786260356</v>
      </c>
    </row>
    <row r="66" spans="1:18" x14ac:dyDescent="0.3">
      <c r="A66" s="16" t="s">
        <v>11</v>
      </c>
      <c r="B66" s="17">
        <f t="shared" ref="B66:B129" si="7">IF(A66="Male",1,0)</f>
        <v>1</v>
      </c>
      <c r="C66" s="18" t="s">
        <v>8</v>
      </c>
      <c r="D66" s="19">
        <f t="shared" ref="D66:D129" si="8">IF(C66="Yes",1,0)</f>
        <v>0</v>
      </c>
      <c r="E66" s="20" t="s">
        <v>21</v>
      </c>
      <c r="F66" s="21">
        <f t="shared" ref="F66:F129" si="9">IF(E66="Thur",1,IF(E66="Fri",2,IF(E66="Sat",3,4)))</f>
        <v>3</v>
      </c>
      <c r="G66" s="22" t="s">
        <v>10</v>
      </c>
      <c r="H66" s="23">
        <f t="shared" ref="H66:H129" si="10">IF(G66="Dinner",1,0)</f>
        <v>1</v>
      </c>
      <c r="I66" s="24">
        <v>3</v>
      </c>
      <c r="J66" s="24">
        <v>17.59</v>
      </c>
      <c r="K66" s="25">
        <v>2.64</v>
      </c>
      <c r="L66" s="42">
        <f t="shared" ref="L66:L129" si="11">$Q$57 + $Q$58*B66 + $Q$59*D66 + $Q$62*F66 + $Q$61*H66 + $Q$60*I66 + $Q$63*J66</f>
        <v>2.8644464877892055</v>
      </c>
      <c r="M66" s="42">
        <f t="shared" si="5"/>
        <v>-0.2244464877892054</v>
      </c>
      <c r="N66" s="42">
        <f t="shared" si="6"/>
        <v>5.0376225880909925E-2</v>
      </c>
    </row>
    <row r="67" spans="1:18" x14ac:dyDescent="0.3">
      <c r="A67" s="16" t="s">
        <v>11</v>
      </c>
      <c r="B67" s="17">
        <f t="shared" si="7"/>
        <v>1</v>
      </c>
      <c r="C67" s="18" t="s">
        <v>8</v>
      </c>
      <c r="D67" s="19">
        <f t="shared" si="8"/>
        <v>0</v>
      </c>
      <c r="E67" s="20" t="s">
        <v>21</v>
      </c>
      <c r="F67" s="21">
        <f t="shared" si="9"/>
        <v>3</v>
      </c>
      <c r="G67" s="22" t="s">
        <v>10</v>
      </c>
      <c r="H67" s="23">
        <f t="shared" si="10"/>
        <v>1</v>
      </c>
      <c r="I67" s="24">
        <v>3</v>
      </c>
      <c r="J67" s="24">
        <v>20.079999999999998</v>
      </c>
      <c r="K67" s="25">
        <v>3.15</v>
      </c>
      <c r="L67" s="42">
        <f t="shared" si="11"/>
        <v>3.0991626491217383</v>
      </c>
      <c r="M67" s="42">
        <f t="shared" ref="M67:M130" si="12">K67-L67</f>
        <v>5.0837350878261578E-2</v>
      </c>
      <c r="N67" s="42">
        <f t="shared" ref="N67:N130" si="13" xml:space="preserve"> M67^2</f>
        <v>2.5844362443194833E-3</v>
      </c>
      <c r="P67" t="s">
        <v>62</v>
      </c>
    </row>
    <row r="68" spans="1:18" ht="15" thickBot="1" x14ac:dyDescent="0.35">
      <c r="A68" s="16" t="s">
        <v>7</v>
      </c>
      <c r="B68" s="17">
        <f t="shared" si="7"/>
        <v>0</v>
      </c>
      <c r="C68" s="18" t="s">
        <v>8</v>
      </c>
      <c r="D68" s="19">
        <f t="shared" si="8"/>
        <v>0</v>
      </c>
      <c r="E68" s="20" t="s">
        <v>21</v>
      </c>
      <c r="F68" s="21">
        <f t="shared" si="9"/>
        <v>3</v>
      </c>
      <c r="G68" s="22" t="s">
        <v>10</v>
      </c>
      <c r="H68" s="23">
        <f t="shared" si="10"/>
        <v>1</v>
      </c>
      <c r="I68" s="24">
        <v>2</v>
      </c>
      <c r="J68" s="24">
        <v>16.45</v>
      </c>
      <c r="K68" s="25">
        <v>2.4700000000000002</v>
      </c>
      <c r="L68" s="42">
        <f t="shared" si="11"/>
        <v>2.7406132863601562</v>
      </c>
      <c r="M68" s="42">
        <f t="shared" si="12"/>
        <v>-0.27061328636015602</v>
      </c>
      <c r="N68" s="42">
        <f t="shared" si="13"/>
        <v>7.3231550754643812E-2</v>
      </c>
    </row>
    <row r="69" spans="1:18" x14ac:dyDescent="0.3">
      <c r="A69" s="16" t="s">
        <v>7</v>
      </c>
      <c r="B69" s="17">
        <f t="shared" si="7"/>
        <v>0</v>
      </c>
      <c r="C69" s="18" t="s">
        <v>22</v>
      </c>
      <c r="D69" s="19">
        <f t="shared" si="8"/>
        <v>1</v>
      </c>
      <c r="E69" s="20" t="s">
        <v>21</v>
      </c>
      <c r="F69" s="21">
        <f t="shared" si="9"/>
        <v>3</v>
      </c>
      <c r="G69" s="22" t="s">
        <v>10</v>
      </c>
      <c r="H69" s="23">
        <f t="shared" si="10"/>
        <v>1</v>
      </c>
      <c r="I69" s="24">
        <v>1</v>
      </c>
      <c r="J69" s="24">
        <v>3.07</v>
      </c>
      <c r="K69" s="25">
        <v>1</v>
      </c>
      <c r="L69" s="42">
        <f t="shared" si="11"/>
        <v>1.3535177716197015</v>
      </c>
      <c r="M69" s="42">
        <f t="shared" si="12"/>
        <v>-0.35351777161970155</v>
      </c>
      <c r="N69" s="42">
        <f t="shared" si="13"/>
        <v>0.12497481485095946</v>
      </c>
      <c r="P69" s="39" t="s">
        <v>63</v>
      </c>
      <c r="Q69" s="39" t="s">
        <v>64</v>
      </c>
      <c r="R69" s="39" t="s">
        <v>65</v>
      </c>
    </row>
    <row r="70" spans="1:18" x14ac:dyDescent="0.3">
      <c r="A70" s="16" t="s">
        <v>11</v>
      </c>
      <c r="B70" s="17">
        <f t="shared" si="7"/>
        <v>1</v>
      </c>
      <c r="C70" s="18" t="s">
        <v>8</v>
      </c>
      <c r="D70" s="19">
        <f t="shared" si="8"/>
        <v>0</v>
      </c>
      <c r="E70" s="20" t="s">
        <v>21</v>
      </c>
      <c r="F70" s="21">
        <f t="shared" si="9"/>
        <v>3</v>
      </c>
      <c r="G70" s="22" t="s">
        <v>10</v>
      </c>
      <c r="H70" s="23">
        <f t="shared" si="10"/>
        <v>1</v>
      </c>
      <c r="I70" s="24">
        <v>2</v>
      </c>
      <c r="J70" s="24">
        <v>20.23</v>
      </c>
      <c r="K70" s="25">
        <v>2.0099999999999998</v>
      </c>
      <c r="L70" s="42">
        <f t="shared" si="11"/>
        <v>3.0602968719299191</v>
      </c>
      <c r="M70" s="42">
        <f t="shared" si="12"/>
        <v>-1.0502968719299193</v>
      </c>
      <c r="N70" s="42">
        <f t="shared" si="13"/>
        <v>1.1031235191857733</v>
      </c>
      <c r="P70">
        <v>1</v>
      </c>
      <c r="Q70">
        <v>2.7225618258270385</v>
      </c>
      <c r="R70">
        <v>-1.7125618258270385</v>
      </c>
    </row>
    <row r="71" spans="1:18" x14ac:dyDescent="0.3">
      <c r="A71" s="16" t="s">
        <v>11</v>
      </c>
      <c r="B71" s="17">
        <f t="shared" si="7"/>
        <v>1</v>
      </c>
      <c r="C71" s="18" t="s">
        <v>22</v>
      </c>
      <c r="D71" s="19">
        <f t="shared" si="8"/>
        <v>1</v>
      </c>
      <c r="E71" s="20" t="s">
        <v>21</v>
      </c>
      <c r="F71" s="21">
        <f t="shared" si="9"/>
        <v>3</v>
      </c>
      <c r="G71" s="22" t="s">
        <v>10</v>
      </c>
      <c r="H71" s="23">
        <f t="shared" si="10"/>
        <v>1</v>
      </c>
      <c r="I71" s="24">
        <v>2</v>
      </c>
      <c r="J71" s="24">
        <v>15.01</v>
      </c>
      <c r="K71" s="25">
        <v>2.09</v>
      </c>
      <c r="L71" s="42">
        <f t="shared" si="11"/>
        <v>2.4953969740091337</v>
      </c>
      <c r="M71" s="42">
        <f t="shared" si="12"/>
        <v>-0.40539697400913388</v>
      </c>
      <c r="N71" s="42">
        <f t="shared" si="13"/>
        <v>0.16434670653576236</v>
      </c>
      <c r="P71">
        <v>2</v>
      </c>
      <c r="Q71">
        <v>2.2340412828681804</v>
      </c>
      <c r="R71">
        <v>-0.57404128286818046</v>
      </c>
    </row>
    <row r="72" spans="1:18" x14ac:dyDescent="0.3">
      <c r="A72" s="16" t="s">
        <v>11</v>
      </c>
      <c r="B72" s="17">
        <f t="shared" si="7"/>
        <v>1</v>
      </c>
      <c r="C72" s="18" t="s">
        <v>8</v>
      </c>
      <c r="D72" s="19">
        <f t="shared" si="8"/>
        <v>0</v>
      </c>
      <c r="E72" s="20" t="s">
        <v>21</v>
      </c>
      <c r="F72" s="21">
        <f t="shared" si="9"/>
        <v>3</v>
      </c>
      <c r="G72" s="22" t="s">
        <v>10</v>
      </c>
      <c r="H72" s="23">
        <f t="shared" si="10"/>
        <v>1</v>
      </c>
      <c r="I72" s="24">
        <v>2</v>
      </c>
      <c r="J72" s="24">
        <v>12.02</v>
      </c>
      <c r="K72" s="25">
        <v>1.97</v>
      </c>
      <c r="L72" s="42">
        <f t="shared" si="11"/>
        <v>2.286393384162813</v>
      </c>
      <c r="M72" s="42">
        <f t="shared" si="12"/>
        <v>-0.31639338416281304</v>
      </c>
      <c r="N72" s="42">
        <f t="shared" si="13"/>
        <v>0.1001047735419974</v>
      </c>
      <c r="P72">
        <v>3</v>
      </c>
      <c r="Q72">
        <v>3.2398330264095963</v>
      </c>
      <c r="R72">
        <v>0.26016697359040375</v>
      </c>
    </row>
    <row r="73" spans="1:18" x14ac:dyDescent="0.3">
      <c r="A73" s="16" t="s">
        <v>7</v>
      </c>
      <c r="B73" s="17">
        <f t="shared" si="7"/>
        <v>0</v>
      </c>
      <c r="C73" s="18" t="s">
        <v>8</v>
      </c>
      <c r="D73" s="19">
        <f t="shared" si="8"/>
        <v>0</v>
      </c>
      <c r="E73" s="20" t="s">
        <v>21</v>
      </c>
      <c r="F73" s="21">
        <f t="shared" si="9"/>
        <v>3</v>
      </c>
      <c r="G73" s="22" t="s">
        <v>10</v>
      </c>
      <c r="H73" s="23">
        <f t="shared" si="10"/>
        <v>1</v>
      </c>
      <c r="I73" s="24">
        <v>3</v>
      </c>
      <c r="J73" s="24">
        <v>17.07</v>
      </c>
      <c r="K73" s="25">
        <v>3</v>
      </c>
      <c r="L73" s="42">
        <f t="shared" si="11"/>
        <v>2.8520619728797065</v>
      </c>
      <c r="M73" s="42">
        <f t="shared" si="12"/>
        <v>0.14793802712029347</v>
      </c>
      <c r="N73" s="42">
        <f t="shared" si="13"/>
        <v>2.1885659868244686E-2</v>
      </c>
      <c r="P73">
        <v>4</v>
      </c>
      <c r="Q73">
        <v>3.3165522505444605</v>
      </c>
      <c r="R73">
        <v>-6.5522505444604029E-3</v>
      </c>
    </row>
    <row r="74" spans="1:18" x14ac:dyDescent="0.3">
      <c r="A74" s="16" t="s">
        <v>7</v>
      </c>
      <c r="B74" s="17">
        <f t="shared" si="7"/>
        <v>0</v>
      </c>
      <c r="C74" s="18" t="s">
        <v>22</v>
      </c>
      <c r="D74" s="19">
        <f t="shared" si="8"/>
        <v>1</v>
      </c>
      <c r="E74" s="20" t="s">
        <v>21</v>
      </c>
      <c r="F74" s="21">
        <f t="shared" si="9"/>
        <v>3</v>
      </c>
      <c r="G74" s="22" t="s">
        <v>10</v>
      </c>
      <c r="H74" s="23">
        <f t="shared" si="10"/>
        <v>1</v>
      </c>
      <c r="I74" s="24">
        <v>2</v>
      </c>
      <c r="J74" s="24">
        <v>26.86</v>
      </c>
      <c r="K74" s="25">
        <v>3.14</v>
      </c>
      <c r="L74" s="42">
        <f t="shared" si="11"/>
        <v>3.6490521842737031</v>
      </c>
      <c r="M74" s="42">
        <f t="shared" si="12"/>
        <v>-0.50905218427370302</v>
      </c>
      <c r="N74" s="42">
        <f t="shared" si="13"/>
        <v>0.25913412631382809</v>
      </c>
      <c r="P74">
        <v>5</v>
      </c>
      <c r="Q74">
        <v>3.7888933083376206</v>
      </c>
      <c r="R74">
        <v>-0.17889330833762074</v>
      </c>
    </row>
    <row r="75" spans="1:18" x14ac:dyDescent="0.3">
      <c r="A75" s="16" t="s">
        <v>7</v>
      </c>
      <c r="B75" s="17">
        <f t="shared" si="7"/>
        <v>0</v>
      </c>
      <c r="C75" s="18" t="s">
        <v>22</v>
      </c>
      <c r="D75" s="19">
        <f t="shared" si="8"/>
        <v>1</v>
      </c>
      <c r="E75" s="20" t="s">
        <v>21</v>
      </c>
      <c r="F75" s="21">
        <f t="shared" si="9"/>
        <v>3</v>
      </c>
      <c r="G75" s="22" t="s">
        <v>10</v>
      </c>
      <c r="H75" s="23">
        <f t="shared" si="10"/>
        <v>1</v>
      </c>
      <c r="I75" s="24">
        <v>2</v>
      </c>
      <c r="J75" s="24">
        <v>25.28</v>
      </c>
      <c r="K75" s="25">
        <v>5</v>
      </c>
      <c r="L75" s="42">
        <f t="shared" si="11"/>
        <v>3.5001158248739435</v>
      </c>
      <c r="M75" s="42">
        <f t="shared" si="12"/>
        <v>1.4998841751260565</v>
      </c>
      <c r="N75" s="42">
        <f t="shared" si="13"/>
        <v>2.2496525387935709</v>
      </c>
      <c r="P75">
        <v>6</v>
      </c>
      <c r="Q75">
        <v>3.8182452565964597</v>
      </c>
      <c r="R75">
        <v>0.89175474340354022</v>
      </c>
    </row>
    <row r="76" spans="1:18" x14ac:dyDescent="0.3">
      <c r="A76" s="16" t="s">
        <v>7</v>
      </c>
      <c r="B76" s="17">
        <f t="shared" si="7"/>
        <v>0</v>
      </c>
      <c r="C76" s="18" t="s">
        <v>8</v>
      </c>
      <c r="D76" s="19">
        <f t="shared" si="8"/>
        <v>0</v>
      </c>
      <c r="E76" s="20" t="s">
        <v>21</v>
      </c>
      <c r="F76" s="21">
        <f t="shared" si="9"/>
        <v>3</v>
      </c>
      <c r="G76" s="22" t="s">
        <v>10</v>
      </c>
      <c r="H76" s="23">
        <f t="shared" si="10"/>
        <v>1</v>
      </c>
      <c r="I76" s="24">
        <v>2</v>
      </c>
      <c r="J76" s="24">
        <v>14.73</v>
      </c>
      <c r="K76" s="25">
        <v>2.2000000000000002</v>
      </c>
      <c r="L76" s="42">
        <f t="shared" si="11"/>
        <v>2.5784800343553544</v>
      </c>
      <c r="M76" s="42">
        <f t="shared" si="12"/>
        <v>-0.37848003435535427</v>
      </c>
      <c r="N76" s="42">
        <f t="shared" si="13"/>
        <v>0.14324713640563014</v>
      </c>
      <c r="P76">
        <v>7</v>
      </c>
      <c r="Q76">
        <v>1.9110831881074868</v>
      </c>
      <c r="R76">
        <v>8.8916811892513214E-2</v>
      </c>
    </row>
    <row r="77" spans="1:18" x14ac:dyDescent="0.3">
      <c r="A77" s="16" t="s">
        <v>11</v>
      </c>
      <c r="B77" s="17">
        <f t="shared" si="7"/>
        <v>1</v>
      </c>
      <c r="C77" s="18" t="s">
        <v>8</v>
      </c>
      <c r="D77" s="19">
        <f t="shared" si="8"/>
        <v>0</v>
      </c>
      <c r="E77" s="20" t="s">
        <v>21</v>
      </c>
      <c r="F77" s="21">
        <f t="shared" si="9"/>
        <v>3</v>
      </c>
      <c r="G77" s="22" t="s">
        <v>10</v>
      </c>
      <c r="H77" s="23">
        <f t="shared" si="10"/>
        <v>1</v>
      </c>
      <c r="I77" s="24">
        <v>2</v>
      </c>
      <c r="J77" s="24">
        <v>10.51</v>
      </c>
      <c r="K77" s="25">
        <v>1.25</v>
      </c>
      <c r="L77" s="42">
        <f t="shared" si="11"/>
        <v>2.1440554710655744</v>
      </c>
      <c r="M77" s="42">
        <f t="shared" si="12"/>
        <v>-0.89405547106557437</v>
      </c>
      <c r="N77" s="42">
        <f t="shared" si="13"/>
        <v>0.79933518534228609</v>
      </c>
      <c r="P77">
        <v>8</v>
      </c>
      <c r="Q77">
        <v>3.9681242511822932</v>
      </c>
      <c r="R77">
        <v>-0.84812425118229307</v>
      </c>
    </row>
    <row r="78" spans="1:18" x14ac:dyDescent="0.3">
      <c r="A78" s="16" t="s">
        <v>11</v>
      </c>
      <c r="B78" s="17">
        <f t="shared" si="7"/>
        <v>1</v>
      </c>
      <c r="C78" s="18" t="s">
        <v>22</v>
      </c>
      <c r="D78" s="19">
        <f t="shared" si="8"/>
        <v>1</v>
      </c>
      <c r="E78" s="20" t="s">
        <v>21</v>
      </c>
      <c r="F78" s="21">
        <f t="shared" si="9"/>
        <v>3</v>
      </c>
      <c r="G78" s="22" t="s">
        <v>10</v>
      </c>
      <c r="H78" s="23">
        <f t="shared" si="10"/>
        <v>1</v>
      </c>
      <c r="I78" s="24">
        <v>2</v>
      </c>
      <c r="J78" s="24">
        <v>17.920000000000002</v>
      </c>
      <c r="K78" s="25">
        <v>3.08</v>
      </c>
      <c r="L78" s="42">
        <f t="shared" si="11"/>
        <v>2.7697038131567928</v>
      </c>
      <c r="M78" s="42">
        <f t="shared" si="12"/>
        <v>0.31029618684320726</v>
      </c>
      <c r="N78" s="42">
        <f t="shared" si="13"/>
        <v>9.6283723569434584E-2</v>
      </c>
      <c r="P78">
        <v>9</v>
      </c>
      <c r="Q78">
        <v>2.502115449776154</v>
      </c>
      <c r="R78">
        <v>-0.542115449776154</v>
      </c>
    </row>
    <row r="79" spans="1:18" x14ac:dyDescent="0.3">
      <c r="A79" s="16" t="s">
        <v>11</v>
      </c>
      <c r="B79" s="17">
        <f t="shared" si="7"/>
        <v>1</v>
      </c>
      <c r="C79" s="18" t="s">
        <v>8</v>
      </c>
      <c r="D79" s="19">
        <f t="shared" si="8"/>
        <v>0</v>
      </c>
      <c r="E79" s="20" t="s">
        <v>23</v>
      </c>
      <c r="F79" s="21">
        <f t="shared" si="9"/>
        <v>1</v>
      </c>
      <c r="G79" s="22" t="s">
        <v>24</v>
      </c>
      <c r="H79" s="23">
        <f t="shared" si="10"/>
        <v>0</v>
      </c>
      <c r="I79" s="24">
        <v>4</v>
      </c>
      <c r="J79" s="24">
        <v>27.2</v>
      </c>
      <c r="K79" s="25">
        <v>4</v>
      </c>
      <c r="L79" s="42">
        <f t="shared" si="11"/>
        <v>3.5894017272166412</v>
      </c>
      <c r="M79" s="42">
        <f t="shared" si="12"/>
        <v>0.41059827278335881</v>
      </c>
      <c r="N79" s="42">
        <f t="shared" si="13"/>
        <v>0.16859094161267754</v>
      </c>
      <c r="P79">
        <v>10</v>
      </c>
      <c r="Q79">
        <v>2.4776069349382186</v>
      </c>
      <c r="R79">
        <v>0.75239306506178139</v>
      </c>
    </row>
    <row r="80" spans="1:18" x14ac:dyDescent="0.3">
      <c r="A80" s="16" t="s">
        <v>11</v>
      </c>
      <c r="B80" s="17">
        <f t="shared" si="7"/>
        <v>1</v>
      </c>
      <c r="C80" s="18" t="s">
        <v>8</v>
      </c>
      <c r="D80" s="19">
        <f t="shared" si="8"/>
        <v>0</v>
      </c>
      <c r="E80" s="20" t="s">
        <v>23</v>
      </c>
      <c r="F80" s="21">
        <f t="shared" si="9"/>
        <v>1</v>
      </c>
      <c r="G80" s="22" t="s">
        <v>24</v>
      </c>
      <c r="H80" s="23">
        <f t="shared" si="10"/>
        <v>0</v>
      </c>
      <c r="I80" s="24">
        <v>2</v>
      </c>
      <c r="J80" s="24">
        <v>22.76</v>
      </c>
      <c r="K80" s="25">
        <v>3</v>
      </c>
      <c r="L80" s="42">
        <f t="shared" si="11"/>
        <v>3.0648610946337236</v>
      </c>
      <c r="M80" s="42">
        <f t="shared" si="12"/>
        <v>-6.4861094633723582E-2</v>
      </c>
      <c r="N80" s="42">
        <f t="shared" si="13"/>
        <v>4.2069615970848464E-3</v>
      </c>
      <c r="P80">
        <v>11</v>
      </c>
      <c r="Q80">
        <v>2.052478466018651</v>
      </c>
      <c r="R80">
        <v>-0.34247846601865106</v>
      </c>
    </row>
    <row r="81" spans="1:18" x14ac:dyDescent="0.3">
      <c r="A81" s="16" t="s">
        <v>11</v>
      </c>
      <c r="B81" s="17">
        <f t="shared" si="7"/>
        <v>1</v>
      </c>
      <c r="C81" s="18" t="s">
        <v>8</v>
      </c>
      <c r="D81" s="19">
        <f t="shared" si="8"/>
        <v>0</v>
      </c>
      <c r="E81" s="20" t="s">
        <v>23</v>
      </c>
      <c r="F81" s="21">
        <f t="shared" si="9"/>
        <v>1</v>
      </c>
      <c r="G81" s="22" t="s">
        <v>24</v>
      </c>
      <c r="H81" s="23">
        <f t="shared" si="10"/>
        <v>0</v>
      </c>
      <c r="I81" s="24">
        <v>2</v>
      </c>
      <c r="J81" s="24">
        <v>17.29</v>
      </c>
      <c r="K81" s="25">
        <v>2.71</v>
      </c>
      <c r="L81" s="42">
        <f t="shared" si="11"/>
        <v>2.5492396478510106</v>
      </c>
      <c r="M81" s="42">
        <f t="shared" si="12"/>
        <v>0.16076035214898932</v>
      </c>
      <c r="N81" s="42">
        <f t="shared" si="13"/>
        <v>2.5843890823067053E-2</v>
      </c>
      <c r="P81">
        <v>12</v>
      </c>
      <c r="Q81">
        <v>4.7946850518790356</v>
      </c>
      <c r="R81">
        <v>0.2053149481209644</v>
      </c>
    </row>
    <row r="82" spans="1:18" x14ac:dyDescent="0.3">
      <c r="A82" s="16" t="s">
        <v>11</v>
      </c>
      <c r="B82" s="17">
        <f t="shared" si="7"/>
        <v>1</v>
      </c>
      <c r="C82" s="18" t="s">
        <v>22</v>
      </c>
      <c r="D82" s="19">
        <f t="shared" si="8"/>
        <v>1</v>
      </c>
      <c r="E82" s="20" t="s">
        <v>23</v>
      </c>
      <c r="F82" s="21">
        <f t="shared" si="9"/>
        <v>1</v>
      </c>
      <c r="G82" s="22" t="s">
        <v>24</v>
      </c>
      <c r="H82" s="23">
        <f t="shared" si="10"/>
        <v>0</v>
      </c>
      <c r="I82" s="24">
        <v>2</v>
      </c>
      <c r="J82" s="24">
        <v>19.440000000000001</v>
      </c>
      <c r="K82" s="25">
        <v>3</v>
      </c>
      <c r="L82" s="42">
        <f t="shared" si="11"/>
        <v>2.6790618820670797</v>
      </c>
      <c r="M82" s="42">
        <f t="shared" si="12"/>
        <v>0.32093811793292026</v>
      </c>
      <c r="N82" s="42">
        <f t="shared" si="13"/>
        <v>0.10300127554232504</v>
      </c>
      <c r="P82">
        <v>13</v>
      </c>
      <c r="Q82">
        <v>2.5379355868469817</v>
      </c>
      <c r="R82">
        <v>-0.96793558684698167</v>
      </c>
    </row>
    <row r="83" spans="1:18" x14ac:dyDescent="0.3">
      <c r="A83" s="16" t="s">
        <v>11</v>
      </c>
      <c r="B83" s="17">
        <f t="shared" si="7"/>
        <v>1</v>
      </c>
      <c r="C83" s="18" t="s">
        <v>8</v>
      </c>
      <c r="D83" s="19">
        <f t="shared" si="8"/>
        <v>0</v>
      </c>
      <c r="E83" s="20" t="s">
        <v>23</v>
      </c>
      <c r="F83" s="21">
        <f t="shared" si="9"/>
        <v>1</v>
      </c>
      <c r="G83" s="22" t="s">
        <v>24</v>
      </c>
      <c r="H83" s="23">
        <f t="shared" si="10"/>
        <v>0</v>
      </c>
      <c r="I83" s="24">
        <v>2</v>
      </c>
      <c r="J83" s="24">
        <v>16.66</v>
      </c>
      <c r="K83" s="25">
        <v>3.4</v>
      </c>
      <c r="L83" s="42">
        <f t="shared" si="11"/>
        <v>2.4898536311283217</v>
      </c>
      <c r="M83" s="42">
        <f t="shared" si="12"/>
        <v>0.91014636887167821</v>
      </c>
      <c r="N83" s="42">
        <f t="shared" si="13"/>
        <v>0.82836641277030099</v>
      </c>
      <c r="P83">
        <v>14</v>
      </c>
      <c r="Q83">
        <v>3.171597518949401</v>
      </c>
      <c r="R83">
        <v>-0.17159751894940101</v>
      </c>
    </row>
    <row r="84" spans="1:18" x14ac:dyDescent="0.3">
      <c r="A84" s="16" t="s">
        <v>7</v>
      </c>
      <c r="B84" s="17">
        <f t="shared" si="7"/>
        <v>0</v>
      </c>
      <c r="C84" s="18" t="s">
        <v>8</v>
      </c>
      <c r="D84" s="19">
        <f t="shared" si="8"/>
        <v>0</v>
      </c>
      <c r="E84" s="20" t="s">
        <v>23</v>
      </c>
      <c r="F84" s="21">
        <f t="shared" si="9"/>
        <v>1</v>
      </c>
      <c r="G84" s="22" t="s">
        <v>24</v>
      </c>
      <c r="H84" s="23">
        <f t="shared" si="10"/>
        <v>0</v>
      </c>
      <c r="I84" s="24">
        <v>1</v>
      </c>
      <c r="J84" s="24">
        <v>10.07</v>
      </c>
      <c r="K84" s="25">
        <v>1.83</v>
      </c>
      <c r="L84" s="42">
        <f t="shared" si="11"/>
        <v>1.8522842532887087</v>
      </c>
      <c r="M84" s="42">
        <f t="shared" si="12"/>
        <v>-2.2284253288708644E-2</v>
      </c>
      <c r="N84" s="42">
        <f t="shared" si="13"/>
        <v>4.9658794463532205E-4</v>
      </c>
      <c r="P84">
        <v>15</v>
      </c>
      <c r="Q84">
        <v>2.5189526256349621</v>
      </c>
      <c r="R84">
        <v>0.50104737436503788</v>
      </c>
    </row>
    <row r="85" spans="1:18" x14ac:dyDescent="0.3">
      <c r="A85" s="16" t="s">
        <v>11</v>
      </c>
      <c r="B85" s="17">
        <f t="shared" si="7"/>
        <v>1</v>
      </c>
      <c r="C85" s="18" t="s">
        <v>22</v>
      </c>
      <c r="D85" s="19">
        <f t="shared" si="8"/>
        <v>1</v>
      </c>
      <c r="E85" s="20" t="s">
        <v>23</v>
      </c>
      <c r="F85" s="21">
        <f t="shared" si="9"/>
        <v>1</v>
      </c>
      <c r="G85" s="22" t="s">
        <v>24</v>
      </c>
      <c r="H85" s="23">
        <f t="shared" si="10"/>
        <v>0</v>
      </c>
      <c r="I85" s="24">
        <v>2</v>
      </c>
      <c r="J85" s="24">
        <v>32.68</v>
      </c>
      <c r="K85" s="25">
        <v>5</v>
      </c>
      <c r="L85" s="42">
        <f t="shared" si="11"/>
        <v>3.9271108684296232</v>
      </c>
      <c r="M85" s="42">
        <f t="shared" si="12"/>
        <v>1.0728891315703768</v>
      </c>
      <c r="N85" s="42">
        <f t="shared" si="13"/>
        <v>1.1510910886418373</v>
      </c>
      <c r="P85">
        <v>16</v>
      </c>
      <c r="Q85">
        <v>3.11859886146883</v>
      </c>
      <c r="R85">
        <v>0.8014011385311699</v>
      </c>
    </row>
    <row r="86" spans="1:18" x14ac:dyDescent="0.3">
      <c r="A86" s="16" t="s">
        <v>11</v>
      </c>
      <c r="B86" s="17">
        <f t="shared" si="7"/>
        <v>1</v>
      </c>
      <c r="C86" s="18" t="s">
        <v>8</v>
      </c>
      <c r="D86" s="19">
        <f t="shared" si="8"/>
        <v>0</v>
      </c>
      <c r="E86" s="20" t="s">
        <v>23</v>
      </c>
      <c r="F86" s="21">
        <f t="shared" si="9"/>
        <v>1</v>
      </c>
      <c r="G86" s="22" t="s">
        <v>24</v>
      </c>
      <c r="H86" s="23">
        <f t="shared" si="10"/>
        <v>0</v>
      </c>
      <c r="I86" s="24">
        <v>2</v>
      </c>
      <c r="J86" s="24">
        <v>15.98</v>
      </c>
      <c r="K86" s="25">
        <v>2.0299999999999998</v>
      </c>
      <c r="L86" s="42">
        <f t="shared" si="11"/>
        <v>2.4257544384752605</v>
      </c>
      <c r="M86" s="42">
        <f t="shared" si="12"/>
        <v>-0.39575443847526071</v>
      </c>
      <c r="N86" s="42">
        <f t="shared" si="13"/>
        <v>0.1566215755728689</v>
      </c>
      <c r="P86">
        <v>17</v>
      </c>
      <c r="Q86">
        <v>2.2697311624484771</v>
      </c>
      <c r="R86">
        <v>-0.59973116244847713</v>
      </c>
    </row>
    <row r="87" spans="1:18" x14ac:dyDescent="0.3">
      <c r="A87" s="16" t="s">
        <v>7</v>
      </c>
      <c r="B87" s="17">
        <f t="shared" si="7"/>
        <v>0</v>
      </c>
      <c r="C87" s="18" t="s">
        <v>8</v>
      </c>
      <c r="D87" s="19">
        <f t="shared" si="8"/>
        <v>0</v>
      </c>
      <c r="E87" s="20" t="s">
        <v>23</v>
      </c>
      <c r="F87" s="21">
        <f t="shared" si="9"/>
        <v>1</v>
      </c>
      <c r="G87" s="22" t="s">
        <v>24</v>
      </c>
      <c r="H87" s="23">
        <f t="shared" si="10"/>
        <v>0</v>
      </c>
      <c r="I87" s="24">
        <v>4</v>
      </c>
      <c r="J87" s="24">
        <v>34.83</v>
      </c>
      <c r="K87" s="25">
        <v>5.17</v>
      </c>
      <c r="L87" s="42">
        <f t="shared" si="11"/>
        <v>4.3452648889578009</v>
      </c>
      <c r="M87" s="42">
        <f t="shared" si="12"/>
        <v>0.82473511104219899</v>
      </c>
      <c r="N87" s="42">
        <f t="shared" si="13"/>
        <v>0.68018800338578833</v>
      </c>
      <c r="P87">
        <v>18</v>
      </c>
      <c r="Q87">
        <v>2.7949092185824655</v>
      </c>
      <c r="R87">
        <v>0.91509078141753442</v>
      </c>
    </row>
    <row r="88" spans="1:18" x14ac:dyDescent="0.3">
      <c r="A88" s="16" t="s">
        <v>11</v>
      </c>
      <c r="B88" s="17">
        <f t="shared" si="7"/>
        <v>1</v>
      </c>
      <c r="C88" s="18" t="s">
        <v>8</v>
      </c>
      <c r="D88" s="19">
        <f t="shared" si="8"/>
        <v>0</v>
      </c>
      <c r="E88" s="20" t="s">
        <v>23</v>
      </c>
      <c r="F88" s="21">
        <f t="shared" si="9"/>
        <v>1</v>
      </c>
      <c r="G88" s="22" t="s">
        <v>24</v>
      </c>
      <c r="H88" s="23">
        <f t="shared" si="10"/>
        <v>0</v>
      </c>
      <c r="I88" s="24">
        <v>2</v>
      </c>
      <c r="J88" s="24">
        <v>13.03</v>
      </c>
      <c r="K88" s="25">
        <v>2</v>
      </c>
      <c r="L88" s="42">
        <f t="shared" si="11"/>
        <v>2.1476770585833038</v>
      </c>
      <c r="M88" s="42">
        <f t="shared" si="12"/>
        <v>-0.14767705858330382</v>
      </c>
      <c r="N88" s="42">
        <f t="shared" si="13"/>
        <v>2.1808513631816549E-2</v>
      </c>
      <c r="P88">
        <v>19</v>
      </c>
      <c r="Q88">
        <v>2.8956409260018976</v>
      </c>
      <c r="R88">
        <v>0.6043590739981024</v>
      </c>
    </row>
    <row r="89" spans="1:18" x14ac:dyDescent="0.3">
      <c r="A89" s="16" t="s">
        <v>11</v>
      </c>
      <c r="B89" s="17">
        <f t="shared" si="7"/>
        <v>1</v>
      </c>
      <c r="C89" s="18" t="s">
        <v>8</v>
      </c>
      <c r="D89" s="19">
        <f t="shared" si="8"/>
        <v>0</v>
      </c>
      <c r="E89" s="20" t="s">
        <v>23</v>
      </c>
      <c r="F89" s="21">
        <f t="shared" si="9"/>
        <v>1</v>
      </c>
      <c r="G89" s="22" t="s">
        <v>24</v>
      </c>
      <c r="H89" s="23">
        <f t="shared" si="10"/>
        <v>0</v>
      </c>
      <c r="I89" s="24">
        <v>2</v>
      </c>
      <c r="J89" s="24">
        <v>18.28</v>
      </c>
      <c r="K89" s="25">
        <v>4</v>
      </c>
      <c r="L89" s="42">
        <f t="shared" si="11"/>
        <v>2.6425605312723794</v>
      </c>
      <c r="M89" s="42">
        <f t="shared" si="12"/>
        <v>1.3574394687276206</v>
      </c>
      <c r="N89" s="42">
        <f t="shared" si="13"/>
        <v>1.8426419112595247</v>
      </c>
      <c r="P89">
        <v>20</v>
      </c>
      <c r="Q89">
        <v>3.1528928547279804</v>
      </c>
      <c r="R89">
        <v>0.19710714527201967</v>
      </c>
    </row>
    <row r="90" spans="1:18" x14ac:dyDescent="0.3">
      <c r="A90" s="16" t="s">
        <v>11</v>
      </c>
      <c r="B90" s="17">
        <f t="shared" si="7"/>
        <v>1</v>
      </c>
      <c r="C90" s="18" t="s">
        <v>8</v>
      </c>
      <c r="D90" s="19">
        <f t="shared" si="8"/>
        <v>0</v>
      </c>
      <c r="E90" s="20" t="s">
        <v>23</v>
      </c>
      <c r="F90" s="21">
        <f t="shared" si="9"/>
        <v>1</v>
      </c>
      <c r="G90" s="22" t="s">
        <v>24</v>
      </c>
      <c r="H90" s="23">
        <f t="shared" si="10"/>
        <v>0</v>
      </c>
      <c r="I90" s="24">
        <v>2</v>
      </c>
      <c r="J90" s="24">
        <v>24.71</v>
      </c>
      <c r="K90" s="25">
        <v>5.85</v>
      </c>
      <c r="L90" s="42">
        <f t="shared" si="11"/>
        <v>3.2486749559182373</v>
      </c>
      <c r="M90" s="42">
        <f t="shared" si="12"/>
        <v>2.6013250440817623</v>
      </c>
      <c r="N90" s="42">
        <f t="shared" si="13"/>
        <v>6.7668919849669829</v>
      </c>
      <c r="P90">
        <v>21</v>
      </c>
      <c r="Q90">
        <v>2.7205890783826536</v>
      </c>
      <c r="R90">
        <v>1.3594109216173464</v>
      </c>
    </row>
    <row r="91" spans="1:18" x14ac:dyDescent="0.3">
      <c r="A91" s="16" t="s">
        <v>11</v>
      </c>
      <c r="B91" s="17">
        <f t="shared" si="7"/>
        <v>1</v>
      </c>
      <c r="C91" s="18" t="s">
        <v>8</v>
      </c>
      <c r="D91" s="19">
        <f t="shared" si="8"/>
        <v>0</v>
      </c>
      <c r="E91" s="20" t="s">
        <v>23</v>
      </c>
      <c r="F91" s="21">
        <f t="shared" si="9"/>
        <v>1</v>
      </c>
      <c r="G91" s="22" t="s">
        <v>24</v>
      </c>
      <c r="H91" s="23">
        <f t="shared" si="10"/>
        <v>0</v>
      </c>
      <c r="I91" s="24">
        <v>2</v>
      </c>
      <c r="J91" s="24">
        <v>21.16</v>
      </c>
      <c r="K91" s="25">
        <v>3</v>
      </c>
      <c r="L91" s="42">
        <f t="shared" si="11"/>
        <v>2.9140394648618146</v>
      </c>
      <c r="M91" s="42">
        <f t="shared" si="12"/>
        <v>8.5960535138185357E-2</v>
      </c>
      <c r="N91" s="42">
        <f t="shared" si="13"/>
        <v>7.3892136012431997E-3</v>
      </c>
      <c r="P91">
        <v>22</v>
      </c>
      <c r="Q91">
        <v>2.980626132248664</v>
      </c>
      <c r="R91">
        <v>-0.23062613224866402</v>
      </c>
    </row>
    <row r="92" spans="1:18" x14ac:dyDescent="0.3">
      <c r="A92" s="16" t="s">
        <v>11</v>
      </c>
      <c r="B92" s="17">
        <f t="shared" si="7"/>
        <v>1</v>
      </c>
      <c r="C92" s="18" t="s">
        <v>22</v>
      </c>
      <c r="D92" s="19">
        <f t="shared" si="8"/>
        <v>1</v>
      </c>
      <c r="E92" s="20" t="s">
        <v>25</v>
      </c>
      <c r="F92" s="21">
        <f t="shared" si="9"/>
        <v>2</v>
      </c>
      <c r="G92" s="22" t="s">
        <v>10</v>
      </c>
      <c r="H92" s="23">
        <f t="shared" si="10"/>
        <v>1</v>
      </c>
      <c r="I92" s="24">
        <v>2</v>
      </c>
      <c r="J92" s="24">
        <v>28.97</v>
      </c>
      <c r="K92" s="25">
        <v>3</v>
      </c>
      <c r="L92" s="42">
        <f t="shared" si="11"/>
        <v>3.6363513232220281</v>
      </c>
      <c r="M92" s="42">
        <f t="shared" si="12"/>
        <v>-0.63635132322202814</v>
      </c>
      <c r="N92" s="42">
        <f t="shared" si="13"/>
        <v>0.40494300656642612</v>
      </c>
      <c r="P92">
        <v>23</v>
      </c>
      <c r="Q92">
        <v>2.5545550281430223</v>
      </c>
      <c r="R92">
        <v>-0.32455502814302228</v>
      </c>
    </row>
    <row r="93" spans="1:18" x14ac:dyDescent="0.3">
      <c r="A93" s="16" t="s">
        <v>11</v>
      </c>
      <c r="B93" s="17">
        <f t="shared" si="7"/>
        <v>1</v>
      </c>
      <c r="C93" s="18" t="s">
        <v>8</v>
      </c>
      <c r="D93" s="19">
        <f t="shared" si="8"/>
        <v>0</v>
      </c>
      <c r="E93" s="20" t="s">
        <v>25</v>
      </c>
      <c r="F93" s="21">
        <f t="shared" si="9"/>
        <v>2</v>
      </c>
      <c r="G93" s="22" t="s">
        <v>10</v>
      </c>
      <c r="H93" s="23">
        <f t="shared" si="10"/>
        <v>1</v>
      </c>
      <c r="I93" s="24">
        <v>2</v>
      </c>
      <c r="J93" s="24">
        <v>22.49</v>
      </c>
      <c r="K93" s="25">
        <v>3.5</v>
      </c>
      <c r="L93" s="42">
        <f t="shared" si="11"/>
        <v>3.0983680534357312</v>
      </c>
      <c r="M93" s="42">
        <f t="shared" si="12"/>
        <v>0.40163194656426882</v>
      </c>
      <c r="N93" s="42">
        <f t="shared" si="13"/>
        <v>0.16130822050100369</v>
      </c>
      <c r="P93">
        <v>24</v>
      </c>
      <c r="Q93">
        <v>5.0971834695366915</v>
      </c>
      <c r="R93">
        <v>2.4828165304633085</v>
      </c>
    </row>
    <row r="94" spans="1:18" x14ac:dyDescent="0.3">
      <c r="A94" s="16" t="s">
        <v>7</v>
      </c>
      <c r="B94" s="17">
        <f t="shared" si="7"/>
        <v>0</v>
      </c>
      <c r="C94" s="18" t="s">
        <v>22</v>
      </c>
      <c r="D94" s="19">
        <f t="shared" si="8"/>
        <v>1</v>
      </c>
      <c r="E94" s="20" t="s">
        <v>25</v>
      </c>
      <c r="F94" s="21">
        <f t="shared" si="9"/>
        <v>2</v>
      </c>
      <c r="G94" s="22" t="s">
        <v>10</v>
      </c>
      <c r="H94" s="23">
        <f t="shared" si="10"/>
        <v>1</v>
      </c>
      <c r="I94" s="24">
        <v>2</v>
      </c>
      <c r="J94" s="24">
        <v>5.75</v>
      </c>
      <c r="K94" s="25">
        <v>1</v>
      </c>
      <c r="L94" s="42">
        <f t="shared" si="11"/>
        <v>1.4841849359235759</v>
      </c>
      <c r="M94" s="42">
        <f t="shared" si="12"/>
        <v>-0.48418493592357592</v>
      </c>
      <c r="N94" s="42">
        <f t="shared" si="13"/>
        <v>0.23443505217531732</v>
      </c>
      <c r="P94">
        <v>25</v>
      </c>
      <c r="Q94">
        <v>2.8996897637367951</v>
      </c>
      <c r="R94">
        <v>0.28031023626320506</v>
      </c>
    </row>
    <row r="95" spans="1:18" x14ac:dyDescent="0.3">
      <c r="A95" s="16" t="s">
        <v>7</v>
      </c>
      <c r="B95" s="17">
        <f t="shared" si="7"/>
        <v>0</v>
      </c>
      <c r="C95" s="18" t="s">
        <v>22</v>
      </c>
      <c r="D95" s="19">
        <f t="shared" si="8"/>
        <v>1</v>
      </c>
      <c r="E95" s="20" t="s">
        <v>25</v>
      </c>
      <c r="F95" s="21">
        <f t="shared" si="9"/>
        <v>2</v>
      </c>
      <c r="G95" s="22" t="s">
        <v>10</v>
      </c>
      <c r="H95" s="23">
        <f t="shared" si="10"/>
        <v>1</v>
      </c>
      <c r="I95" s="24">
        <v>2</v>
      </c>
      <c r="J95" s="24">
        <v>16.32</v>
      </c>
      <c r="K95" s="25">
        <v>4.3</v>
      </c>
      <c r="L95" s="42">
        <f t="shared" si="11"/>
        <v>2.4805503276042469</v>
      </c>
      <c r="M95" s="42">
        <f t="shared" si="12"/>
        <v>1.8194496723957529</v>
      </c>
      <c r="N95" s="42">
        <f t="shared" si="13"/>
        <v>3.3103971103810128</v>
      </c>
      <c r="P95">
        <v>26</v>
      </c>
      <c r="Q95">
        <v>3.0601488324298507</v>
      </c>
      <c r="R95">
        <v>-0.72014883242985084</v>
      </c>
    </row>
    <row r="96" spans="1:18" x14ac:dyDescent="0.3">
      <c r="A96" s="16" t="s">
        <v>7</v>
      </c>
      <c r="B96" s="17">
        <f t="shared" si="7"/>
        <v>0</v>
      </c>
      <c r="C96" s="18" t="s">
        <v>8</v>
      </c>
      <c r="D96" s="19">
        <f t="shared" si="8"/>
        <v>0</v>
      </c>
      <c r="E96" s="20" t="s">
        <v>25</v>
      </c>
      <c r="F96" s="21">
        <f t="shared" si="9"/>
        <v>2</v>
      </c>
      <c r="G96" s="22" t="s">
        <v>10</v>
      </c>
      <c r="H96" s="23">
        <f t="shared" si="10"/>
        <v>1</v>
      </c>
      <c r="I96" s="24">
        <v>2</v>
      </c>
      <c r="J96" s="24">
        <v>22.75</v>
      </c>
      <c r="K96" s="25">
        <v>3.25</v>
      </c>
      <c r="L96" s="42">
        <f t="shared" si="11"/>
        <v>3.1595090830400379</v>
      </c>
      <c r="M96" s="42">
        <f t="shared" si="12"/>
        <v>9.0490916959962142E-2</v>
      </c>
      <c r="N96" s="42">
        <f t="shared" si="13"/>
        <v>8.1886060522547641E-3</v>
      </c>
      <c r="P96">
        <v>27</v>
      </c>
      <c r="Q96">
        <v>2.291690068718788</v>
      </c>
      <c r="R96">
        <v>-0.291690068718788</v>
      </c>
    </row>
    <row r="97" spans="1:18" x14ac:dyDescent="0.3">
      <c r="A97" s="16" t="s">
        <v>11</v>
      </c>
      <c r="B97" s="17">
        <f t="shared" si="7"/>
        <v>1</v>
      </c>
      <c r="C97" s="18" t="s">
        <v>22</v>
      </c>
      <c r="D97" s="19">
        <f t="shared" si="8"/>
        <v>1</v>
      </c>
      <c r="E97" s="20" t="s">
        <v>25</v>
      </c>
      <c r="F97" s="21">
        <f t="shared" si="9"/>
        <v>2</v>
      </c>
      <c r="G97" s="22" t="s">
        <v>10</v>
      </c>
      <c r="H97" s="23">
        <f t="shared" si="10"/>
        <v>1</v>
      </c>
      <c r="I97" s="24">
        <v>4</v>
      </c>
      <c r="J97" s="24">
        <v>40.17</v>
      </c>
      <c r="K97" s="25">
        <v>4.7300000000000004</v>
      </c>
      <c r="L97" s="42">
        <f t="shared" si="11"/>
        <v>4.79811334159126</v>
      </c>
      <c r="M97" s="42">
        <f t="shared" si="12"/>
        <v>-6.8113341591259591E-2</v>
      </c>
      <c r="N97" s="42">
        <f t="shared" si="13"/>
        <v>4.6394273027276136E-3</v>
      </c>
      <c r="P97">
        <v>28</v>
      </c>
      <c r="Q97">
        <v>2.2275908760657273</v>
      </c>
      <c r="R97">
        <v>-0.22759087606572725</v>
      </c>
    </row>
    <row r="98" spans="1:18" x14ac:dyDescent="0.3">
      <c r="A98" s="16" t="s">
        <v>11</v>
      </c>
      <c r="B98" s="17">
        <f t="shared" si="7"/>
        <v>1</v>
      </c>
      <c r="C98" s="18" t="s">
        <v>22</v>
      </c>
      <c r="D98" s="19">
        <f t="shared" si="8"/>
        <v>1</v>
      </c>
      <c r="E98" s="20" t="s">
        <v>25</v>
      </c>
      <c r="F98" s="21">
        <f t="shared" si="9"/>
        <v>2</v>
      </c>
      <c r="G98" s="22" t="s">
        <v>10</v>
      </c>
      <c r="H98" s="23">
        <f t="shared" si="10"/>
        <v>1</v>
      </c>
      <c r="I98" s="24">
        <v>2</v>
      </c>
      <c r="J98" s="24">
        <v>27.28</v>
      </c>
      <c r="K98" s="25">
        <v>4</v>
      </c>
      <c r="L98" s="42">
        <f t="shared" si="11"/>
        <v>3.4770459767754498</v>
      </c>
      <c r="M98" s="42">
        <f t="shared" si="12"/>
        <v>0.5229540232245502</v>
      </c>
      <c r="N98" s="42">
        <f t="shared" si="13"/>
        <v>0.27348091040674338</v>
      </c>
      <c r="P98">
        <v>29</v>
      </c>
      <c r="Q98">
        <v>3.0769051787187873</v>
      </c>
      <c r="R98">
        <v>1.2230948212812125</v>
      </c>
    </row>
    <row r="99" spans="1:18" x14ac:dyDescent="0.3">
      <c r="A99" s="16" t="s">
        <v>11</v>
      </c>
      <c r="B99" s="17">
        <f t="shared" si="7"/>
        <v>1</v>
      </c>
      <c r="C99" s="18" t="s">
        <v>22</v>
      </c>
      <c r="D99" s="19">
        <f t="shared" si="8"/>
        <v>1</v>
      </c>
      <c r="E99" s="20" t="s">
        <v>25</v>
      </c>
      <c r="F99" s="21">
        <f t="shared" si="9"/>
        <v>2</v>
      </c>
      <c r="G99" s="22" t="s">
        <v>10</v>
      </c>
      <c r="H99" s="23">
        <f t="shared" si="10"/>
        <v>1</v>
      </c>
      <c r="I99" s="24">
        <v>2</v>
      </c>
      <c r="J99" s="24">
        <v>12.03</v>
      </c>
      <c r="K99" s="25">
        <v>1.5</v>
      </c>
      <c r="L99" s="42">
        <f t="shared" si="11"/>
        <v>2.0395273180119458</v>
      </c>
      <c r="M99" s="42">
        <f t="shared" si="12"/>
        <v>-0.53952731801194576</v>
      </c>
      <c r="N99" s="42">
        <f t="shared" si="13"/>
        <v>0.29108972688116325</v>
      </c>
      <c r="P99">
        <v>30</v>
      </c>
      <c r="Q99">
        <v>2.9202974803399009</v>
      </c>
      <c r="R99">
        <v>7.9702519660099114E-2</v>
      </c>
    </row>
    <row r="100" spans="1:18" x14ac:dyDescent="0.3">
      <c r="A100" s="16" t="s">
        <v>11</v>
      </c>
      <c r="B100" s="17">
        <f t="shared" si="7"/>
        <v>1</v>
      </c>
      <c r="C100" s="18" t="s">
        <v>22</v>
      </c>
      <c r="D100" s="19">
        <f t="shared" si="8"/>
        <v>1</v>
      </c>
      <c r="E100" s="20" t="s">
        <v>25</v>
      </c>
      <c r="F100" s="21">
        <f t="shared" si="9"/>
        <v>2</v>
      </c>
      <c r="G100" s="22" t="s">
        <v>10</v>
      </c>
      <c r="H100" s="23">
        <f t="shared" si="10"/>
        <v>1</v>
      </c>
      <c r="I100" s="24">
        <v>2</v>
      </c>
      <c r="J100" s="24">
        <v>21.01</v>
      </c>
      <c r="K100" s="25">
        <v>3</v>
      </c>
      <c r="L100" s="42">
        <f t="shared" si="11"/>
        <v>2.8860137151067828</v>
      </c>
      <c r="M100" s="42">
        <f t="shared" si="12"/>
        <v>0.11398628489321716</v>
      </c>
      <c r="N100" s="42">
        <f t="shared" si="13"/>
        <v>1.2992873143757666E-2</v>
      </c>
      <c r="P100">
        <v>31</v>
      </c>
      <c r="Q100">
        <v>1.9316034276383567</v>
      </c>
      <c r="R100">
        <v>-0.48160342763835673</v>
      </c>
    </row>
    <row r="101" spans="1:18" x14ac:dyDescent="0.3">
      <c r="A101" s="16" t="s">
        <v>11</v>
      </c>
      <c r="B101" s="17">
        <f t="shared" si="7"/>
        <v>1</v>
      </c>
      <c r="C101" s="18" t="s">
        <v>8</v>
      </c>
      <c r="D101" s="19">
        <f t="shared" si="8"/>
        <v>0</v>
      </c>
      <c r="E101" s="20" t="s">
        <v>25</v>
      </c>
      <c r="F101" s="21">
        <f t="shared" si="9"/>
        <v>2</v>
      </c>
      <c r="G101" s="22" t="s">
        <v>10</v>
      </c>
      <c r="H101" s="23">
        <f t="shared" si="10"/>
        <v>1</v>
      </c>
      <c r="I101" s="24">
        <v>2</v>
      </c>
      <c r="J101" s="24">
        <v>12.46</v>
      </c>
      <c r="K101" s="25">
        <v>1.5</v>
      </c>
      <c r="L101" s="42">
        <f t="shared" si="11"/>
        <v>2.1529049618030793</v>
      </c>
      <c r="M101" s="42">
        <f t="shared" si="12"/>
        <v>-0.65290496180307933</v>
      </c>
      <c r="N101" s="42">
        <f t="shared" si="13"/>
        <v>0.42628488914708046</v>
      </c>
      <c r="P101">
        <v>32</v>
      </c>
      <c r="Q101">
        <v>3.1110511324778702</v>
      </c>
      <c r="R101">
        <v>-0.61105113247787024</v>
      </c>
    </row>
    <row r="102" spans="1:18" x14ac:dyDescent="0.3">
      <c r="A102" s="16" t="s">
        <v>7</v>
      </c>
      <c r="B102" s="17">
        <f t="shared" si="7"/>
        <v>0</v>
      </c>
      <c r="C102" s="18" t="s">
        <v>22</v>
      </c>
      <c r="D102" s="19">
        <f t="shared" si="8"/>
        <v>1</v>
      </c>
      <c r="E102" s="20" t="s">
        <v>25</v>
      </c>
      <c r="F102" s="21">
        <f t="shared" si="9"/>
        <v>2</v>
      </c>
      <c r="G102" s="22" t="s">
        <v>10</v>
      </c>
      <c r="H102" s="23">
        <f t="shared" si="10"/>
        <v>1</v>
      </c>
      <c r="I102" s="24">
        <v>2</v>
      </c>
      <c r="J102" s="24">
        <v>11.35</v>
      </c>
      <c r="K102" s="25">
        <v>2.5</v>
      </c>
      <c r="L102" s="42">
        <f t="shared" si="11"/>
        <v>2.0120606401252559</v>
      </c>
      <c r="M102" s="42">
        <f t="shared" si="12"/>
        <v>0.48793935987474413</v>
      </c>
      <c r="N102" s="42">
        <f t="shared" si="13"/>
        <v>0.23808481891497507</v>
      </c>
      <c r="P102">
        <v>33</v>
      </c>
      <c r="Q102">
        <v>2.4876279299317376</v>
      </c>
      <c r="R102">
        <v>0.51237207006826235</v>
      </c>
    </row>
    <row r="103" spans="1:18" x14ac:dyDescent="0.3">
      <c r="A103" s="16" t="s">
        <v>7</v>
      </c>
      <c r="B103" s="17">
        <f t="shared" si="7"/>
        <v>0</v>
      </c>
      <c r="C103" s="18" t="s">
        <v>22</v>
      </c>
      <c r="D103" s="19">
        <f t="shared" si="8"/>
        <v>1</v>
      </c>
      <c r="E103" s="20" t="s">
        <v>25</v>
      </c>
      <c r="F103" s="21">
        <f t="shared" si="9"/>
        <v>2</v>
      </c>
      <c r="G103" s="22" t="s">
        <v>10</v>
      </c>
      <c r="H103" s="23">
        <f t="shared" si="10"/>
        <v>1</v>
      </c>
      <c r="I103" s="24">
        <v>2</v>
      </c>
      <c r="J103" s="24">
        <v>15.38</v>
      </c>
      <c r="K103" s="25">
        <v>3</v>
      </c>
      <c r="L103" s="42">
        <f t="shared" si="11"/>
        <v>2.3919426201132508</v>
      </c>
      <c r="M103" s="42">
        <f t="shared" si="12"/>
        <v>0.60805737988674924</v>
      </c>
      <c r="N103" s="42">
        <f t="shared" si="13"/>
        <v>0.36973377723473849</v>
      </c>
      <c r="P103">
        <v>34</v>
      </c>
      <c r="Q103">
        <v>3.3682602807856581</v>
      </c>
      <c r="R103">
        <v>-0.91826028078565791</v>
      </c>
    </row>
    <row r="104" spans="1:18" x14ac:dyDescent="0.3">
      <c r="A104" s="16" t="s">
        <v>7</v>
      </c>
      <c r="B104" s="17">
        <f t="shared" si="7"/>
        <v>0</v>
      </c>
      <c r="C104" s="18" t="s">
        <v>22</v>
      </c>
      <c r="D104" s="19">
        <f t="shared" si="8"/>
        <v>1</v>
      </c>
      <c r="E104" s="20" t="s">
        <v>21</v>
      </c>
      <c r="F104" s="21">
        <f t="shared" si="9"/>
        <v>3</v>
      </c>
      <c r="G104" s="22" t="s">
        <v>10</v>
      </c>
      <c r="H104" s="23">
        <f t="shared" si="10"/>
        <v>1</v>
      </c>
      <c r="I104" s="24">
        <v>3</v>
      </c>
      <c r="J104" s="24">
        <v>44.3</v>
      </c>
      <c r="K104" s="25">
        <v>2.5</v>
      </c>
      <c r="L104" s="42">
        <f t="shared" si="11"/>
        <v>5.3460132537704421</v>
      </c>
      <c r="M104" s="42">
        <f t="shared" si="12"/>
        <v>-2.8460132537704421</v>
      </c>
      <c r="N104" s="42">
        <f t="shared" si="13"/>
        <v>8.0997914406370182</v>
      </c>
      <c r="P104">
        <v>35</v>
      </c>
      <c r="Q104">
        <v>2.7073921857776115</v>
      </c>
      <c r="R104">
        <v>0.56260781422238848</v>
      </c>
    </row>
    <row r="105" spans="1:18" x14ac:dyDescent="0.3">
      <c r="A105" s="16" t="s">
        <v>7</v>
      </c>
      <c r="B105" s="17">
        <f t="shared" si="7"/>
        <v>0</v>
      </c>
      <c r="C105" s="18" t="s">
        <v>22</v>
      </c>
      <c r="D105" s="19">
        <f t="shared" si="8"/>
        <v>1</v>
      </c>
      <c r="E105" s="20" t="s">
        <v>21</v>
      </c>
      <c r="F105" s="21">
        <f t="shared" si="9"/>
        <v>3</v>
      </c>
      <c r="G105" s="22" t="s">
        <v>10</v>
      </c>
      <c r="H105" s="23">
        <f t="shared" si="10"/>
        <v>1</v>
      </c>
      <c r="I105" s="24">
        <v>2</v>
      </c>
      <c r="J105" s="24">
        <v>22.42</v>
      </c>
      <c r="K105" s="25">
        <v>3.48</v>
      </c>
      <c r="L105" s="42">
        <f t="shared" si="11"/>
        <v>3.2305221616566571</v>
      </c>
      <c r="M105" s="42">
        <f t="shared" si="12"/>
        <v>0.24947783834334292</v>
      </c>
      <c r="N105" s="42">
        <f t="shared" si="13"/>
        <v>6.223919182446714E-2</v>
      </c>
      <c r="P105">
        <v>36</v>
      </c>
      <c r="Q105">
        <v>3.474331453179361</v>
      </c>
      <c r="R105">
        <v>0.1256685468206391</v>
      </c>
    </row>
    <row r="106" spans="1:18" x14ac:dyDescent="0.3">
      <c r="A106" s="16" t="s">
        <v>7</v>
      </c>
      <c r="B106" s="17">
        <f t="shared" si="7"/>
        <v>0</v>
      </c>
      <c r="C106" s="18" t="s">
        <v>8</v>
      </c>
      <c r="D106" s="19">
        <f t="shared" si="8"/>
        <v>0</v>
      </c>
      <c r="E106" s="20" t="s">
        <v>21</v>
      </c>
      <c r="F106" s="21">
        <f t="shared" si="9"/>
        <v>3</v>
      </c>
      <c r="G106" s="22" t="s">
        <v>10</v>
      </c>
      <c r="H106" s="23">
        <f t="shared" si="10"/>
        <v>1</v>
      </c>
      <c r="I106" s="24">
        <v>2</v>
      </c>
      <c r="J106" s="24">
        <v>20.92</v>
      </c>
      <c r="K106" s="25">
        <v>4.08</v>
      </c>
      <c r="L106" s="42">
        <f t="shared" si="11"/>
        <v>3.1619712145354262</v>
      </c>
      <c r="M106" s="42">
        <f t="shared" si="12"/>
        <v>0.91802878546457389</v>
      </c>
      <c r="N106" s="42">
        <f t="shared" si="13"/>
        <v>0.84277685094156063</v>
      </c>
      <c r="P106">
        <v>37</v>
      </c>
      <c r="Q106">
        <v>2.7437891839716784</v>
      </c>
      <c r="R106">
        <v>-0.74378918397167837</v>
      </c>
    </row>
    <row r="107" spans="1:18" x14ac:dyDescent="0.3">
      <c r="A107" s="16" t="s">
        <v>11</v>
      </c>
      <c r="B107" s="17">
        <f t="shared" si="7"/>
        <v>1</v>
      </c>
      <c r="C107" s="18" t="s">
        <v>22</v>
      </c>
      <c r="D107" s="19">
        <f t="shared" si="8"/>
        <v>1</v>
      </c>
      <c r="E107" s="20" t="s">
        <v>21</v>
      </c>
      <c r="F107" s="21">
        <f t="shared" si="9"/>
        <v>3</v>
      </c>
      <c r="G107" s="22" t="s">
        <v>10</v>
      </c>
      <c r="H107" s="23">
        <f t="shared" si="10"/>
        <v>1</v>
      </c>
      <c r="I107" s="24">
        <v>2</v>
      </c>
      <c r="J107" s="24">
        <v>15.36</v>
      </c>
      <c r="K107" s="25">
        <v>1.64</v>
      </c>
      <c r="L107" s="42">
        <f t="shared" si="11"/>
        <v>2.528389205521739</v>
      </c>
      <c r="M107" s="42">
        <f t="shared" si="12"/>
        <v>-0.88838920552173906</v>
      </c>
      <c r="N107" s="42">
        <f t="shared" si="13"/>
        <v>0.78923538048754671</v>
      </c>
      <c r="P107">
        <v>38</v>
      </c>
      <c r="Q107">
        <v>2.8388650802746644</v>
      </c>
      <c r="R107">
        <v>0.2311349197253354</v>
      </c>
    </row>
    <row r="108" spans="1:18" x14ac:dyDescent="0.3">
      <c r="A108" s="16" t="s">
        <v>11</v>
      </c>
      <c r="B108" s="17">
        <f t="shared" si="7"/>
        <v>1</v>
      </c>
      <c r="C108" s="18" t="s">
        <v>22</v>
      </c>
      <c r="D108" s="19">
        <f t="shared" si="8"/>
        <v>1</v>
      </c>
      <c r="E108" s="20" t="s">
        <v>21</v>
      </c>
      <c r="F108" s="21">
        <f t="shared" si="9"/>
        <v>3</v>
      </c>
      <c r="G108" s="22" t="s">
        <v>10</v>
      </c>
      <c r="H108" s="23">
        <f t="shared" si="10"/>
        <v>1</v>
      </c>
      <c r="I108" s="24">
        <v>2</v>
      </c>
      <c r="J108" s="24">
        <v>20.49</v>
      </c>
      <c r="K108" s="25">
        <v>4.0599999999999996</v>
      </c>
      <c r="L108" s="42">
        <f t="shared" si="11"/>
        <v>3.0119610559779204</v>
      </c>
      <c r="M108" s="42">
        <f t="shared" si="12"/>
        <v>1.0480389440220792</v>
      </c>
      <c r="N108" s="42">
        <f t="shared" si="13"/>
        <v>1.0983856281869149</v>
      </c>
      <c r="P108">
        <v>39</v>
      </c>
      <c r="Q108">
        <v>2.968136358257393</v>
      </c>
      <c r="R108">
        <v>-0.65813635825739292</v>
      </c>
    </row>
    <row r="109" spans="1:18" x14ac:dyDescent="0.3">
      <c r="A109" s="16" t="s">
        <v>11</v>
      </c>
      <c r="B109" s="17">
        <f t="shared" si="7"/>
        <v>1</v>
      </c>
      <c r="C109" s="18" t="s">
        <v>22</v>
      </c>
      <c r="D109" s="19">
        <f t="shared" si="8"/>
        <v>1</v>
      </c>
      <c r="E109" s="20" t="s">
        <v>21</v>
      </c>
      <c r="F109" s="21">
        <f t="shared" si="9"/>
        <v>3</v>
      </c>
      <c r="G109" s="22" t="s">
        <v>10</v>
      </c>
      <c r="H109" s="23">
        <f t="shared" si="10"/>
        <v>1</v>
      </c>
      <c r="I109" s="24">
        <v>2</v>
      </c>
      <c r="J109" s="24">
        <v>25.21</v>
      </c>
      <c r="K109" s="25">
        <v>4.29</v>
      </c>
      <c r="L109" s="42">
        <f t="shared" si="11"/>
        <v>3.4568848638050511</v>
      </c>
      <c r="M109" s="42">
        <f t="shared" si="12"/>
        <v>0.83311513619494892</v>
      </c>
      <c r="N109" s="42">
        <f t="shared" si="13"/>
        <v>0.69408083015712829</v>
      </c>
      <c r="P109">
        <v>40</v>
      </c>
      <c r="Q109">
        <v>4.1539714223390236</v>
      </c>
      <c r="R109">
        <v>0.84602857766097639</v>
      </c>
    </row>
    <row r="110" spans="1:18" x14ac:dyDescent="0.3">
      <c r="A110" s="16" t="s">
        <v>11</v>
      </c>
      <c r="B110" s="17">
        <f t="shared" si="7"/>
        <v>1</v>
      </c>
      <c r="C110" s="18" t="s">
        <v>8</v>
      </c>
      <c r="D110" s="19">
        <f t="shared" si="8"/>
        <v>0</v>
      </c>
      <c r="E110" s="20" t="s">
        <v>21</v>
      </c>
      <c r="F110" s="21">
        <f t="shared" si="9"/>
        <v>3</v>
      </c>
      <c r="G110" s="22" t="s">
        <v>10</v>
      </c>
      <c r="H110" s="23">
        <f t="shared" si="10"/>
        <v>1</v>
      </c>
      <c r="I110" s="24">
        <v>2</v>
      </c>
      <c r="J110" s="24">
        <v>18.239999999999998</v>
      </c>
      <c r="K110" s="25">
        <v>3.76</v>
      </c>
      <c r="L110" s="42">
        <f t="shared" si="11"/>
        <v>2.8727124699011073</v>
      </c>
      <c r="M110" s="42">
        <f t="shared" si="12"/>
        <v>0.8872875300988925</v>
      </c>
      <c r="N110" s="42">
        <f t="shared" si="13"/>
        <v>0.78727916106899309</v>
      </c>
      <c r="P110">
        <v>41</v>
      </c>
      <c r="Q110">
        <v>2.7183380339476688</v>
      </c>
      <c r="R110">
        <v>-0.47833803394766861</v>
      </c>
    </row>
    <row r="111" spans="1:18" x14ac:dyDescent="0.3">
      <c r="A111" s="16" t="s">
        <v>7</v>
      </c>
      <c r="B111" s="17">
        <f t="shared" si="7"/>
        <v>0</v>
      </c>
      <c r="C111" s="18" t="s">
        <v>22</v>
      </c>
      <c r="D111" s="19">
        <f t="shared" si="8"/>
        <v>1</v>
      </c>
      <c r="E111" s="20" t="s">
        <v>21</v>
      </c>
      <c r="F111" s="21">
        <f t="shared" si="9"/>
        <v>3</v>
      </c>
      <c r="G111" s="22" t="s">
        <v>10</v>
      </c>
      <c r="H111" s="23">
        <f t="shared" si="10"/>
        <v>1</v>
      </c>
      <c r="I111" s="24">
        <v>2</v>
      </c>
      <c r="J111" s="24">
        <v>14.31</v>
      </c>
      <c r="K111" s="25">
        <v>4</v>
      </c>
      <c r="L111" s="42">
        <f t="shared" si="11"/>
        <v>2.4660450257502955</v>
      </c>
      <c r="M111" s="42">
        <f t="shared" si="12"/>
        <v>1.5339549742497045</v>
      </c>
      <c r="N111" s="42">
        <f t="shared" si="13"/>
        <v>2.3530178630254115</v>
      </c>
      <c r="P111">
        <v>42</v>
      </c>
      <c r="Q111">
        <v>2.7302331648061653</v>
      </c>
      <c r="R111">
        <v>-0.19023316480616526</v>
      </c>
    </row>
    <row r="112" spans="1:18" x14ac:dyDescent="0.3">
      <c r="A112" s="16" t="s">
        <v>11</v>
      </c>
      <c r="B112" s="17">
        <f t="shared" si="7"/>
        <v>1</v>
      </c>
      <c r="C112" s="18" t="s">
        <v>8</v>
      </c>
      <c r="D112" s="19">
        <f t="shared" si="8"/>
        <v>0</v>
      </c>
      <c r="E112" s="20" t="s">
        <v>21</v>
      </c>
      <c r="F112" s="21">
        <f t="shared" si="9"/>
        <v>3</v>
      </c>
      <c r="G112" s="22" t="s">
        <v>10</v>
      </c>
      <c r="H112" s="23">
        <f t="shared" si="10"/>
        <v>1</v>
      </c>
      <c r="I112" s="24">
        <v>2</v>
      </c>
      <c r="J112" s="24">
        <v>14</v>
      </c>
      <c r="K112" s="25">
        <v>3</v>
      </c>
      <c r="L112" s="42">
        <f t="shared" si="11"/>
        <v>2.4730351510055497</v>
      </c>
      <c r="M112" s="42">
        <f t="shared" si="12"/>
        <v>0.52696484899445029</v>
      </c>
      <c r="N112" s="42">
        <f t="shared" si="13"/>
        <v>0.27769195207574382</v>
      </c>
      <c r="P112">
        <v>43</v>
      </c>
      <c r="Q112">
        <v>2.3984255793079665</v>
      </c>
      <c r="R112">
        <v>0.66157442069203354</v>
      </c>
    </row>
    <row r="113" spans="1:18" x14ac:dyDescent="0.3">
      <c r="A113" s="16" t="s">
        <v>7</v>
      </c>
      <c r="B113" s="17">
        <f t="shared" si="7"/>
        <v>0</v>
      </c>
      <c r="C113" s="18" t="s">
        <v>8</v>
      </c>
      <c r="D113" s="19">
        <f t="shared" si="8"/>
        <v>0</v>
      </c>
      <c r="E113" s="20" t="s">
        <v>21</v>
      </c>
      <c r="F113" s="21">
        <f t="shared" si="9"/>
        <v>3</v>
      </c>
      <c r="G113" s="22" t="s">
        <v>10</v>
      </c>
      <c r="H113" s="23">
        <f t="shared" si="10"/>
        <v>1</v>
      </c>
      <c r="I113" s="24">
        <v>1</v>
      </c>
      <c r="J113" s="24">
        <v>7.25</v>
      </c>
      <c r="K113" s="25">
        <v>1</v>
      </c>
      <c r="L113" s="42">
        <f t="shared" si="11"/>
        <v>1.8203836101887461</v>
      </c>
      <c r="M113" s="42">
        <f t="shared" si="12"/>
        <v>-0.82038361018874606</v>
      </c>
      <c r="N113" s="42">
        <f t="shared" si="13"/>
        <v>0.67302926786632045</v>
      </c>
      <c r="P113">
        <v>44</v>
      </c>
      <c r="Q113">
        <v>1.9968629900402599</v>
      </c>
      <c r="R113">
        <v>-0.67686299004025985</v>
      </c>
    </row>
    <row r="114" spans="1:18" x14ac:dyDescent="0.3">
      <c r="A114" s="16" t="s">
        <v>11</v>
      </c>
      <c r="B114" s="17">
        <f t="shared" si="7"/>
        <v>1</v>
      </c>
      <c r="C114" s="18" t="s">
        <v>8</v>
      </c>
      <c r="D114" s="19">
        <f t="shared" si="8"/>
        <v>0</v>
      </c>
      <c r="E114" s="20" t="s">
        <v>9</v>
      </c>
      <c r="F114" s="21">
        <f t="shared" si="9"/>
        <v>4</v>
      </c>
      <c r="G114" s="22" t="s">
        <v>10</v>
      </c>
      <c r="H114" s="23">
        <f t="shared" si="10"/>
        <v>1</v>
      </c>
      <c r="I114" s="24">
        <v>3</v>
      </c>
      <c r="J114" s="24">
        <v>38.07</v>
      </c>
      <c r="K114" s="25">
        <v>4</v>
      </c>
      <c r="L114" s="42">
        <f t="shared" si="11"/>
        <v>4.9699277194166438</v>
      </c>
      <c r="M114" s="42">
        <f t="shared" si="12"/>
        <v>-0.9699277194166438</v>
      </c>
      <c r="N114" s="42">
        <f t="shared" si="13"/>
        <v>0.94075978089277168</v>
      </c>
      <c r="P114">
        <v>45</v>
      </c>
      <c r="Q114">
        <v>4.2999318366804919</v>
      </c>
      <c r="R114">
        <v>1.3000681633195077</v>
      </c>
    </row>
    <row r="115" spans="1:18" x14ac:dyDescent="0.3">
      <c r="A115" s="16" t="s">
        <v>11</v>
      </c>
      <c r="B115" s="17">
        <f t="shared" si="7"/>
        <v>1</v>
      </c>
      <c r="C115" s="18" t="s">
        <v>8</v>
      </c>
      <c r="D115" s="19">
        <f t="shared" si="8"/>
        <v>0</v>
      </c>
      <c r="E115" s="20" t="s">
        <v>9</v>
      </c>
      <c r="F115" s="21">
        <f t="shared" si="9"/>
        <v>4</v>
      </c>
      <c r="G115" s="22" t="s">
        <v>10</v>
      </c>
      <c r="H115" s="23">
        <f t="shared" si="10"/>
        <v>1</v>
      </c>
      <c r="I115" s="24">
        <v>2</v>
      </c>
      <c r="J115" s="24">
        <v>23.95</v>
      </c>
      <c r="K115" s="25">
        <v>2.5499999999999998</v>
      </c>
      <c r="L115" s="42">
        <f t="shared" si="11"/>
        <v>3.5859215316966147</v>
      </c>
      <c r="M115" s="42">
        <f t="shared" si="12"/>
        <v>-1.0359215316966148</v>
      </c>
      <c r="N115" s="42">
        <f t="shared" si="13"/>
        <v>1.0731334198326605</v>
      </c>
      <c r="P115">
        <v>46</v>
      </c>
      <c r="Q115">
        <v>2.8084718852503432</v>
      </c>
      <c r="R115">
        <v>0.19152811474965681</v>
      </c>
    </row>
    <row r="116" spans="1:18" x14ac:dyDescent="0.3">
      <c r="A116" s="16" t="s">
        <v>7</v>
      </c>
      <c r="B116" s="17">
        <f t="shared" si="7"/>
        <v>0</v>
      </c>
      <c r="C116" s="18" t="s">
        <v>8</v>
      </c>
      <c r="D116" s="19">
        <f t="shared" si="8"/>
        <v>0</v>
      </c>
      <c r="E116" s="20" t="s">
        <v>9</v>
      </c>
      <c r="F116" s="21">
        <f t="shared" si="9"/>
        <v>4</v>
      </c>
      <c r="G116" s="22" t="s">
        <v>10</v>
      </c>
      <c r="H116" s="23">
        <f t="shared" si="10"/>
        <v>1</v>
      </c>
      <c r="I116" s="24">
        <v>3</v>
      </c>
      <c r="J116" s="24">
        <v>25.71</v>
      </c>
      <c r="K116" s="25">
        <v>4</v>
      </c>
      <c r="L116" s="42">
        <f t="shared" si="11"/>
        <v>3.8414631441950209</v>
      </c>
      <c r="M116" s="42">
        <f t="shared" si="12"/>
        <v>0.15853685580497912</v>
      </c>
      <c r="N116" s="42">
        <f t="shared" si="13"/>
        <v>2.5133934648528741E-2</v>
      </c>
      <c r="P116">
        <v>47</v>
      </c>
      <c r="Q116">
        <v>3.1798701485636682</v>
      </c>
      <c r="R116">
        <v>1.8201298514363318</v>
      </c>
    </row>
    <row r="117" spans="1:18" x14ac:dyDescent="0.3">
      <c r="A117" s="16" t="s">
        <v>7</v>
      </c>
      <c r="B117" s="17">
        <f t="shared" si="7"/>
        <v>0</v>
      </c>
      <c r="C117" s="18" t="s">
        <v>8</v>
      </c>
      <c r="D117" s="19">
        <f t="shared" si="8"/>
        <v>0</v>
      </c>
      <c r="E117" s="20" t="s">
        <v>9</v>
      </c>
      <c r="F117" s="21">
        <f t="shared" si="9"/>
        <v>4</v>
      </c>
      <c r="G117" s="22" t="s">
        <v>10</v>
      </c>
      <c r="H117" s="23">
        <f t="shared" si="10"/>
        <v>1</v>
      </c>
      <c r="I117" s="24">
        <v>2</v>
      </c>
      <c r="J117" s="24">
        <v>17.309999999999999</v>
      </c>
      <c r="K117" s="25">
        <v>3.5</v>
      </c>
      <c r="L117" s="42">
        <f t="shared" si="11"/>
        <v>2.996644282909565</v>
      </c>
      <c r="M117" s="42">
        <f t="shared" si="12"/>
        <v>0.50335571709043503</v>
      </c>
      <c r="N117" s="42">
        <f t="shared" si="13"/>
        <v>0.25336697792762608</v>
      </c>
      <c r="P117">
        <v>48</v>
      </c>
      <c r="Q117">
        <v>4.4884588738953779</v>
      </c>
      <c r="R117">
        <v>1.5115411261046221</v>
      </c>
    </row>
    <row r="118" spans="1:18" x14ac:dyDescent="0.3">
      <c r="A118" s="16" t="s">
        <v>11</v>
      </c>
      <c r="B118" s="17">
        <f t="shared" si="7"/>
        <v>1</v>
      </c>
      <c r="C118" s="18" t="s">
        <v>8</v>
      </c>
      <c r="D118" s="19">
        <f t="shared" si="8"/>
        <v>0</v>
      </c>
      <c r="E118" s="20" t="s">
        <v>9</v>
      </c>
      <c r="F118" s="21">
        <f t="shared" si="9"/>
        <v>4</v>
      </c>
      <c r="G118" s="22" t="s">
        <v>10</v>
      </c>
      <c r="H118" s="23">
        <f t="shared" si="10"/>
        <v>1</v>
      </c>
      <c r="I118" s="24">
        <v>4</v>
      </c>
      <c r="J118" s="24">
        <v>29.93</v>
      </c>
      <c r="K118" s="25">
        <v>5.07</v>
      </c>
      <c r="L118" s="42">
        <f t="shared" si="11"/>
        <v>4.2556279829349943</v>
      </c>
      <c r="M118" s="42">
        <f t="shared" si="12"/>
        <v>0.81437201706500595</v>
      </c>
      <c r="N118" s="42">
        <f t="shared" si="13"/>
        <v>0.66320178217852632</v>
      </c>
      <c r="P118">
        <v>49</v>
      </c>
      <c r="Q118">
        <v>3.9505799567097153</v>
      </c>
      <c r="R118">
        <v>-1.9005799567097155</v>
      </c>
    </row>
    <row r="119" spans="1:18" x14ac:dyDescent="0.3">
      <c r="A119" s="16" t="s">
        <v>7</v>
      </c>
      <c r="B119" s="17">
        <f t="shared" si="7"/>
        <v>0</v>
      </c>
      <c r="C119" s="18" t="s">
        <v>8</v>
      </c>
      <c r="D119" s="19">
        <f t="shared" si="8"/>
        <v>0</v>
      </c>
      <c r="E119" s="20" t="s">
        <v>23</v>
      </c>
      <c r="F119" s="21">
        <f t="shared" si="9"/>
        <v>1</v>
      </c>
      <c r="G119" s="22" t="s">
        <v>24</v>
      </c>
      <c r="H119" s="23">
        <f t="shared" si="10"/>
        <v>0</v>
      </c>
      <c r="I119" s="24">
        <v>2</v>
      </c>
      <c r="J119" s="24">
        <v>10.65</v>
      </c>
      <c r="K119" s="25">
        <v>1.5</v>
      </c>
      <c r="L119" s="42">
        <f t="shared" si="11"/>
        <v>1.9599623990639612</v>
      </c>
      <c r="M119" s="42">
        <f t="shared" si="12"/>
        <v>-0.45996239906396119</v>
      </c>
      <c r="N119" s="42">
        <f t="shared" si="13"/>
        <v>0.21156540855267469</v>
      </c>
      <c r="P119">
        <v>50</v>
      </c>
      <c r="Q119">
        <v>2.784906005598482</v>
      </c>
      <c r="R119">
        <v>0.215093994401518</v>
      </c>
    </row>
    <row r="120" spans="1:18" x14ac:dyDescent="0.3">
      <c r="A120" s="16" t="s">
        <v>7</v>
      </c>
      <c r="B120" s="17">
        <f t="shared" si="7"/>
        <v>0</v>
      </c>
      <c r="C120" s="18" t="s">
        <v>8</v>
      </c>
      <c r="D120" s="19">
        <f t="shared" si="8"/>
        <v>0</v>
      </c>
      <c r="E120" s="20" t="s">
        <v>23</v>
      </c>
      <c r="F120" s="21">
        <f t="shared" si="9"/>
        <v>1</v>
      </c>
      <c r="G120" s="22" t="s">
        <v>24</v>
      </c>
      <c r="H120" s="23">
        <f t="shared" si="10"/>
        <v>0</v>
      </c>
      <c r="I120" s="24">
        <v>2</v>
      </c>
      <c r="J120" s="24">
        <v>12.43</v>
      </c>
      <c r="K120" s="25">
        <v>1.8</v>
      </c>
      <c r="L120" s="42">
        <f t="shared" si="11"/>
        <v>2.1277514621852096</v>
      </c>
      <c r="M120" s="42">
        <f t="shared" si="12"/>
        <v>-0.32775146218520956</v>
      </c>
      <c r="N120" s="42">
        <f t="shared" si="13"/>
        <v>0.10742102096454285</v>
      </c>
      <c r="P120">
        <v>51</v>
      </c>
      <c r="Q120">
        <v>2.2664566532575465</v>
      </c>
      <c r="R120">
        <v>0.23354334674245347</v>
      </c>
    </row>
    <row r="121" spans="1:18" x14ac:dyDescent="0.3">
      <c r="A121" s="16" t="s">
        <v>7</v>
      </c>
      <c r="B121" s="17">
        <f t="shared" si="7"/>
        <v>0</v>
      </c>
      <c r="C121" s="18" t="s">
        <v>8</v>
      </c>
      <c r="D121" s="19">
        <f t="shared" si="8"/>
        <v>0</v>
      </c>
      <c r="E121" s="20" t="s">
        <v>23</v>
      </c>
      <c r="F121" s="21">
        <f t="shared" si="9"/>
        <v>1</v>
      </c>
      <c r="G121" s="22" t="s">
        <v>24</v>
      </c>
      <c r="H121" s="23">
        <f t="shared" si="10"/>
        <v>0</v>
      </c>
      <c r="I121" s="24">
        <v>4</v>
      </c>
      <c r="J121" s="24">
        <v>24.08</v>
      </c>
      <c r="K121" s="25">
        <v>2.92</v>
      </c>
      <c r="L121" s="42">
        <f t="shared" si="11"/>
        <v>3.3319320639277903</v>
      </c>
      <c r="M121" s="42">
        <f t="shared" si="12"/>
        <v>-0.41193206392779036</v>
      </c>
      <c r="N121" s="42">
        <f t="shared" si="13"/>
        <v>0.16968802529180915</v>
      </c>
      <c r="P121">
        <v>52</v>
      </c>
      <c r="Q121">
        <v>2.0909962511571711</v>
      </c>
      <c r="R121">
        <v>0.50900374884282895</v>
      </c>
    </row>
    <row r="122" spans="1:18" x14ac:dyDescent="0.3">
      <c r="A122" s="16" t="s">
        <v>11</v>
      </c>
      <c r="B122" s="17">
        <f t="shared" si="7"/>
        <v>1</v>
      </c>
      <c r="C122" s="18" t="s">
        <v>8</v>
      </c>
      <c r="D122" s="19">
        <f t="shared" si="8"/>
        <v>0</v>
      </c>
      <c r="E122" s="20" t="s">
        <v>23</v>
      </c>
      <c r="F122" s="21">
        <f t="shared" si="9"/>
        <v>1</v>
      </c>
      <c r="G122" s="22" t="s">
        <v>24</v>
      </c>
      <c r="H122" s="23">
        <f t="shared" si="10"/>
        <v>0</v>
      </c>
      <c r="I122" s="24">
        <v>2</v>
      </c>
      <c r="J122" s="24">
        <v>11.69</v>
      </c>
      <c r="K122" s="25">
        <v>2.31</v>
      </c>
      <c r="L122" s="42">
        <f t="shared" si="11"/>
        <v>2.0213639436493303</v>
      </c>
      <c r="M122" s="42">
        <f t="shared" si="12"/>
        <v>0.2886360563506698</v>
      </c>
      <c r="N122" s="42">
        <f t="shared" si="13"/>
        <v>8.3310773025667029E-2</v>
      </c>
      <c r="P122">
        <v>53</v>
      </c>
      <c r="Q122">
        <v>4.7522664685056863</v>
      </c>
      <c r="R122">
        <v>0.44773353149431383</v>
      </c>
    </row>
    <row r="123" spans="1:18" x14ac:dyDescent="0.3">
      <c r="A123" s="16" t="s">
        <v>7</v>
      </c>
      <c r="B123" s="17">
        <f t="shared" si="7"/>
        <v>0</v>
      </c>
      <c r="C123" s="18" t="s">
        <v>8</v>
      </c>
      <c r="D123" s="19">
        <f t="shared" si="8"/>
        <v>0</v>
      </c>
      <c r="E123" s="20" t="s">
        <v>23</v>
      </c>
      <c r="F123" s="21">
        <f t="shared" si="9"/>
        <v>1</v>
      </c>
      <c r="G123" s="22" t="s">
        <v>24</v>
      </c>
      <c r="H123" s="23">
        <f t="shared" si="10"/>
        <v>0</v>
      </c>
      <c r="I123" s="24">
        <v>2</v>
      </c>
      <c r="J123" s="24">
        <v>13.42</v>
      </c>
      <c r="K123" s="25">
        <v>1.68</v>
      </c>
      <c r="L123" s="42">
        <f t="shared" si="11"/>
        <v>2.221072345606578</v>
      </c>
      <c r="M123" s="42">
        <f t="shared" si="12"/>
        <v>-0.54107234560657802</v>
      </c>
      <c r="N123" s="42">
        <f t="shared" si="13"/>
        <v>0.29275928318020422</v>
      </c>
      <c r="P123">
        <v>54</v>
      </c>
      <c r="Q123">
        <v>2.0213715048781951</v>
      </c>
      <c r="R123">
        <v>-0.461371504878195</v>
      </c>
    </row>
    <row r="124" spans="1:18" x14ac:dyDescent="0.3">
      <c r="A124" s="16" t="s">
        <v>11</v>
      </c>
      <c r="B124" s="17">
        <f t="shared" si="7"/>
        <v>1</v>
      </c>
      <c r="C124" s="18" t="s">
        <v>8</v>
      </c>
      <c r="D124" s="19">
        <f t="shared" si="8"/>
        <v>0</v>
      </c>
      <c r="E124" s="20" t="s">
        <v>23</v>
      </c>
      <c r="F124" s="21">
        <f t="shared" si="9"/>
        <v>1</v>
      </c>
      <c r="G124" s="22" t="s">
        <v>24</v>
      </c>
      <c r="H124" s="23">
        <f t="shared" si="10"/>
        <v>0</v>
      </c>
      <c r="I124" s="24">
        <v>2</v>
      </c>
      <c r="J124" s="24">
        <v>14.26</v>
      </c>
      <c r="K124" s="25">
        <v>2.5</v>
      </c>
      <c r="L124" s="42">
        <f t="shared" si="11"/>
        <v>2.2636211864704587</v>
      </c>
      <c r="M124" s="42">
        <f t="shared" si="12"/>
        <v>0.23637881352954127</v>
      </c>
      <c r="N124" s="42">
        <f t="shared" si="13"/>
        <v>5.5874943485633641E-2</v>
      </c>
      <c r="P124">
        <v>55</v>
      </c>
      <c r="Q124">
        <v>3.8436964066204684</v>
      </c>
      <c r="R124">
        <v>0.49630359337953145</v>
      </c>
    </row>
    <row r="125" spans="1:18" x14ac:dyDescent="0.3">
      <c r="A125" s="16" t="s">
        <v>11</v>
      </c>
      <c r="B125" s="17">
        <f t="shared" si="7"/>
        <v>1</v>
      </c>
      <c r="C125" s="18" t="s">
        <v>8</v>
      </c>
      <c r="D125" s="19">
        <f t="shared" si="8"/>
        <v>0</v>
      </c>
      <c r="E125" s="20" t="s">
        <v>23</v>
      </c>
      <c r="F125" s="21">
        <f t="shared" si="9"/>
        <v>1</v>
      </c>
      <c r="G125" s="22" t="s">
        <v>24</v>
      </c>
      <c r="H125" s="23">
        <f t="shared" si="10"/>
        <v>0</v>
      </c>
      <c r="I125" s="24">
        <v>2</v>
      </c>
      <c r="J125" s="24">
        <v>15.95</v>
      </c>
      <c r="K125" s="25">
        <v>2</v>
      </c>
      <c r="L125" s="42">
        <f t="shared" si="11"/>
        <v>2.4229265329170371</v>
      </c>
      <c r="M125" s="42">
        <f t="shared" si="12"/>
        <v>-0.42292653291703708</v>
      </c>
      <c r="N125" s="42">
        <f t="shared" si="13"/>
        <v>0.17886685224522564</v>
      </c>
      <c r="P125">
        <v>56</v>
      </c>
      <c r="Q125">
        <v>2.9215881075792742</v>
      </c>
      <c r="R125">
        <v>0.58841189242072556</v>
      </c>
    </row>
    <row r="126" spans="1:18" x14ac:dyDescent="0.3">
      <c r="A126" s="16" t="s">
        <v>7</v>
      </c>
      <c r="B126" s="17">
        <f t="shared" si="7"/>
        <v>0</v>
      </c>
      <c r="C126" s="18" t="s">
        <v>8</v>
      </c>
      <c r="D126" s="19">
        <f t="shared" si="8"/>
        <v>0</v>
      </c>
      <c r="E126" s="20" t="s">
        <v>23</v>
      </c>
      <c r="F126" s="21">
        <f t="shared" si="9"/>
        <v>1</v>
      </c>
      <c r="G126" s="22" t="s">
        <v>24</v>
      </c>
      <c r="H126" s="23">
        <f t="shared" si="10"/>
        <v>0</v>
      </c>
      <c r="I126" s="24">
        <v>2</v>
      </c>
      <c r="J126" s="24">
        <v>12.48</v>
      </c>
      <c r="K126" s="25">
        <v>2.52</v>
      </c>
      <c r="L126" s="42">
        <f t="shared" si="11"/>
        <v>2.1324646381155814</v>
      </c>
      <c r="M126" s="42">
        <f t="shared" si="12"/>
        <v>0.38753536188441862</v>
      </c>
      <c r="N126" s="42">
        <f t="shared" si="13"/>
        <v>0.15018365671088729</v>
      </c>
      <c r="P126">
        <v>57</v>
      </c>
      <c r="Q126">
        <v>4.8914275775102638</v>
      </c>
      <c r="R126">
        <v>-1.8914275775102638</v>
      </c>
    </row>
    <row r="127" spans="1:18" x14ac:dyDescent="0.3">
      <c r="A127" s="16" t="s">
        <v>7</v>
      </c>
      <c r="B127" s="17">
        <f t="shared" si="7"/>
        <v>0</v>
      </c>
      <c r="C127" s="18" t="s">
        <v>8</v>
      </c>
      <c r="D127" s="19">
        <f t="shared" si="8"/>
        <v>0</v>
      </c>
      <c r="E127" s="20" t="s">
        <v>23</v>
      </c>
      <c r="F127" s="21">
        <f t="shared" si="9"/>
        <v>1</v>
      </c>
      <c r="G127" s="22" t="s">
        <v>24</v>
      </c>
      <c r="H127" s="23">
        <f t="shared" si="10"/>
        <v>0</v>
      </c>
      <c r="I127" s="24">
        <v>6</v>
      </c>
      <c r="J127" s="24">
        <v>29.8</v>
      </c>
      <c r="K127" s="25">
        <v>4.2</v>
      </c>
      <c r="L127" s="42">
        <f t="shared" si="11"/>
        <v>3.977130000328235</v>
      </c>
      <c r="M127" s="42">
        <f t="shared" si="12"/>
        <v>0.22286999967176513</v>
      </c>
      <c r="N127" s="42">
        <f t="shared" si="13"/>
        <v>4.9671036753692589E-2</v>
      </c>
      <c r="P127">
        <v>58</v>
      </c>
      <c r="Q127">
        <v>3.5575188661262143</v>
      </c>
      <c r="R127">
        <v>-2.0575188661262143</v>
      </c>
    </row>
    <row r="128" spans="1:18" x14ac:dyDescent="0.3">
      <c r="A128" s="16" t="s">
        <v>11</v>
      </c>
      <c r="B128" s="17">
        <f t="shared" si="7"/>
        <v>1</v>
      </c>
      <c r="C128" s="18" t="s">
        <v>8</v>
      </c>
      <c r="D128" s="19">
        <f t="shared" si="8"/>
        <v>0</v>
      </c>
      <c r="E128" s="20" t="s">
        <v>23</v>
      </c>
      <c r="F128" s="21">
        <f t="shared" si="9"/>
        <v>1</v>
      </c>
      <c r="G128" s="22" t="s">
        <v>24</v>
      </c>
      <c r="H128" s="23">
        <f t="shared" si="10"/>
        <v>0</v>
      </c>
      <c r="I128" s="24">
        <v>2</v>
      </c>
      <c r="J128" s="24">
        <v>8.52</v>
      </c>
      <c r="K128" s="25">
        <v>1.48</v>
      </c>
      <c r="L128" s="42">
        <f t="shared" si="11"/>
        <v>1.7225485896637367</v>
      </c>
      <c r="M128" s="42">
        <f t="shared" si="12"/>
        <v>-0.24254858966373671</v>
      </c>
      <c r="N128" s="42">
        <f t="shared" si="13"/>
        <v>5.8829818347867727E-2</v>
      </c>
      <c r="P128">
        <v>59</v>
      </c>
      <c r="Q128">
        <v>2.0180644432950015</v>
      </c>
      <c r="R128">
        <v>-0.25806444329500144</v>
      </c>
    </row>
    <row r="129" spans="1:18" x14ac:dyDescent="0.3">
      <c r="A129" s="16" t="s">
        <v>7</v>
      </c>
      <c r="B129" s="17">
        <f t="shared" si="7"/>
        <v>0</v>
      </c>
      <c r="C129" s="18" t="s">
        <v>8</v>
      </c>
      <c r="D129" s="19">
        <f t="shared" si="8"/>
        <v>0</v>
      </c>
      <c r="E129" s="20" t="s">
        <v>23</v>
      </c>
      <c r="F129" s="21">
        <f t="shared" si="9"/>
        <v>1</v>
      </c>
      <c r="G129" s="22" t="s">
        <v>24</v>
      </c>
      <c r="H129" s="23">
        <f t="shared" si="10"/>
        <v>0</v>
      </c>
      <c r="I129" s="24">
        <v>2</v>
      </c>
      <c r="J129" s="24">
        <v>14.52</v>
      </c>
      <c r="K129" s="25">
        <v>2</v>
      </c>
      <c r="L129" s="42">
        <f t="shared" si="11"/>
        <v>2.324762216074765</v>
      </c>
      <c r="M129" s="42">
        <f t="shared" si="12"/>
        <v>-0.32476221607476496</v>
      </c>
      <c r="N129" s="42">
        <f t="shared" si="13"/>
        <v>0.10547049698979233</v>
      </c>
      <c r="P129">
        <v>60</v>
      </c>
      <c r="Q129">
        <v>5.9314156092125607</v>
      </c>
      <c r="R129">
        <v>0.7985843907874397</v>
      </c>
    </row>
    <row r="130" spans="1:18" x14ac:dyDescent="0.3">
      <c r="A130" s="16" t="s">
        <v>7</v>
      </c>
      <c r="B130" s="17">
        <f t="shared" ref="B130:B193" si="14">IF(A130="Male",1,0)</f>
        <v>0</v>
      </c>
      <c r="C130" s="18" t="s">
        <v>8</v>
      </c>
      <c r="D130" s="19">
        <f t="shared" ref="D130:D193" si="15">IF(C130="Yes",1,0)</f>
        <v>0</v>
      </c>
      <c r="E130" s="20" t="s">
        <v>23</v>
      </c>
      <c r="F130" s="21">
        <f t="shared" ref="F130:F193" si="16">IF(E130="Thur",1,IF(E130="Fri",2,IF(E130="Sat",3,4)))</f>
        <v>1</v>
      </c>
      <c r="G130" s="22" t="s">
        <v>24</v>
      </c>
      <c r="H130" s="23">
        <f t="shared" ref="H130:H193" si="17">IF(G130="Dinner",1,0)</f>
        <v>0</v>
      </c>
      <c r="I130" s="24">
        <v>2</v>
      </c>
      <c r="J130" s="24">
        <v>11.38</v>
      </c>
      <c r="K130" s="25">
        <v>2</v>
      </c>
      <c r="L130" s="42">
        <f t="shared" ref="L130:L193" si="18">$Q$57 + $Q$58*B130 + $Q$59*D130 + $Q$62*F130 + $Q$61*H130 + $Q$60*I130 + $Q$63*J130</f>
        <v>2.0287747676473948</v>
      </c>
      <c r="M130" s="42">
        <f t="shared" si="12"/>
        <v>-2.8774767647394839E-2</v>
      </c>
      <c r="N130" s="42">
        <f t="shared" si="13"/>
        <v>8.279872531615607E-4</v>
      </c>
      <c r="P130">
        <v>61</v>
      </c>
      <c r="Q130">
        <v>2.8711492866923596</v>
      </c>
      <c r="R130">
        <v>0.33885071330764038</v>
      </c>
    </row>
    <row r="131" spans="1:18" x14ac:dyDescent="0.3">
      <c r="A131" s="16" t="s">
        <v>11</v>
      </c>
      <c r="B131" s="17">
        <f t="shared" si="14"/>
        <v>1</v>
      </c>
      <c r="C131" s="18" t="s">
        <v>8</v>
      </c>
      <c r="D131" s="19">
        <f t="shared" si="15"/>
        <v>0</v>
      </c>
      <c r="E131" s="20" t="s">
        <v>23</v>
      </c>
      <c r="F131" s="21">
        <f t="shared" si="16"/>
        <v>1</v>
      </c>
      <c r="G131" s="22" t="s">
        <v>24</v>
      </c>
      <c r="H131" s="23">
        <f t="shared" si="17"/>
        <v>0</v>
      </c>
      <c r="I131" s="24">
        <v>3</v>
      </c>
      <c r="J131" s="24">
        <v>22.82</v>
      </c>
      <c r="K131" s="25">
        <v>2.1800000000000002</v>
      </c>
      <c r="L131" s="42">
        <f t="shared" si="18"/>
        <v>3.1235222107331055</v>
      </c>
      <c r="M131" s="42">
        <f t="shared" ref="M131:M194" si="19">K131-L131</f>
        <v>-0.94352221073310538</v>
      </c>
      <c r="N131" s="42">
        <f t="shared" ref="N131:N194" si="20" xml:space="preserve"> M131^2</f>
        <v>0.89023416214668649</v>
      </c>
      <c r="P131">
        <v>62</v>
      </c>
      <c r="Q131">
        <v>2.2603216861161299</v>
      </c>
      <c r="R131">
        <v>-0.26032168611612994</v>
      </c>
    </row>
    <row r="132" spans="1:18" x14ac:dyDescent="0.3">
      <c r="A132" s="16" t="s">
        <v>11</v>
      </c>
      <c r="B132" s="17">
        <f t="shared" si="14"/>
        <v>1</v>
      </c>
      <c r="C132" s="18" t="s">
        <v>8</v>
      </c>
      <c r="D132" s="19">
        <f t="shared" si="15"/>
        <v>0</v>
      </c>
      <c r="E132" s="20" t="s">
        <v>23</v>
      </c>
      <c r="F132" s="21">
        <f t="shared" si="16"/>
        <v>1</v>
      </c>
      <c r="G132" s="22" t="s">
        <v>24</v>
      </c>
      <c r="H132" s="23">
        <f t="shared" si="17"/>
        <v>0</v>
      </c>
      <c r="I132" s="24">
        <v>2</v>
      </c>
      <c r="J132" s="24">
        <v>19.079999999999998</v>
      </c>
      <c r="K132" s="25">
        <v>1.5</v>
      </c>
      <c r="L132" s="42">
        <f t="shared" si="18"/>
        <v>2.7179713461583335</v>
      </c>
      <c r="M132" s="42">
        <f t="shared" si="19"/>
        <v>-1.2179713461583335</v>
      </c>
      <c r="N132" s="42">
        <f t="shared" si="20"/>
        <v>1.4834542000627429</v>
      </c>
      <c r="P132">
        <v>63</v>
      </c>
      <c r="Q132">
        <v>1.9973264692013641</v>
      </c>
      <c r="R132">
        <v>-1.7326469201364159E-2</v>
      </c>
    </row>
    <row r="133" spans="1:18" x14ac:dyDescent="0.3">
      <c r="A133" s="16" t="s">
        <v>7</v>
      </c>
      <c r="B133" s="17">
        <f t="shared" si="14"/>
        <v>0</v>
      </c>
      <c r="C133" s="18" t="s">
        <v>8</v>
      </c>
      <c r="D133" s="19">
        <f t="shared" si="15"/>
        <v>0</v>
      </c>
      <c r="E133" s="20" t="s">
        <v>23</v>
      </c>
      <c r="F133" s="21">
        <f t="shared" si="16"/>
        <v>1</v>
      </c>
      <c r="G133" s="22" t="s">
        <v>24</v>
      </c>
      <c r="H133" s="23">
        <f t="shared" si="17"/>
        <v>0</v>
      </c>
      <c r="I133" s="24">
        <v>2</v>
      </c>
      <c r="J133" s="24">
        <v>20.27</v>
      </c>
      <c r="K133" s="25">
        <v>2.83</v>
      </c>
      <c r="L133" s="42">
        <f t="shared" si="18"/>
        <v>2.8667774480675616</v>
      </c>
      <c r="M133" s="42">
        <f t="shared" si="19"/>
        <v>-3.6777448067561558E-2</v>
      </c>
      <c r="N133" s="42">
        <f t="shared" si="20"/>
        <v>1.3525806863621873E-3</v>
      </c>
      <c r="P133">
        <v>64</v>
      </c>
      <c r="Q133">
        <v>3.0325509905714902</v>
      </c>
      <c r="R133">
        <v>0.72744900942850954</v>
      </c>
    </row>
    <row r="134" spans="1:18" x14ac:dyDescent="0.3">
      <c r="A134" s="16" t="s">
        <v>7</v>
      </c>
      <c r="B134" s="17">
        <f t="shared" si="14"/>
        <v>0</v>
      </c>
      <c r="C134" s="18" t="s">
        <v>8</v>
      </c>
      <c r="D134" s="19">
        <f t="shared" si="15"/>
        <v>0</v>
      </c>
      <c r="E134" s="20" t="s">
        <v>23</v>
      </c>
      <c r="F134" s="21">
        <f t="shared" si="16"/>
        <v>1</v>
      </c>
      <c r="G134" s="22" t="s">
        <v>24</v>
      </c>
      <c r="H134" s="23">
        <f t="shared" si="17"/>
        <v>0</v>
      </c>
      <c r="I134" s="24">
        <v>2</v>
      </c>
      <c r="J134" s="24">
        <v>11.17</v>
      </c>
      <c r="K134" s="25">
        <v>1.5</v>
      </c>
      <c r="L134" s="42">
        <f t="shared" si="18"/>
        <v>2.0089794287398313</v>
      </c>
      <c r="M134" s="42">
        <f t="shared" si="19"/>
        <v>-0.50897942873983126</v>
      </c>
      <c r="N134" s="42">
        <f t="shared" si="20"/>
        <v>0.25906005888032496</v>
      </c>
      <c r="P134">
        <v>65</v>
      </c>
      <c r="Q134">
        <v>2.8644464877892055</v>
      </c>
      <c r="R134">
        <v>-0.2244464877892054</v>
      </c>
    </row>
    <row r="135" spans="1:18" x14ac:dyDescent="0.3">
      <c r="A135" s="16" t="s">
        <v>7</v>
      </c>
      <c r="B135" s="17">
        <f t="shared" si="14"/>
        <v>0</v>
      </c>
      <c r="C135" s="18" t="s">
        <v>8</v>
      </c>
      <c r="D135" s="19">
        <f t="shared" si="15"/>
        <v>0</v>
      </c>
      <c r="E135" s="20" t="s">
        <v>23</v>
      </c>
      <c r="F135" s="21">
        <f t="shared" si="16"/>
        <v>1</v>
      </c>
      <c r="G135" s="22" t="s">
        <v>24</v>
      </c>
      <c r="H135" s="23">
        <f t="shared" si="17"/>
        <v>0</v>
      </c>
      <c r="I135" s="24">
        <v>2</v>
      </c>
      <c r="J135" s="24">
        <v>12.26</v>
      </c>
      <c r="K135" s="25">
        <v>2</v>
      </c>
      <c r="L135" s="42">
        <f t="shared" si="18"/>
        <v>2.1117266640219441</v>
      </c>
      <c r="M135" s="42">
        <f t="shared" si="19"/>
        <v>-0.11172666402194409</v>
      </c>
      <c r="N135" s="42">
        <f t="shared" si="20"/>
        <v>1.2482847453472376E-2</v>
      </c>
      <c r="P135">
        <v>66</v>
      </c>
      <c r="Q135">
        <v>3.0991626491217379</v>
      </c>
      <c r="R135">
        <v>5.0837350878262022E-2</v>
      </c>
    </row>
    <row r="136" spans="1:18" x14ac:dyDescent="0.3">
      <c r="A136" s="16" t="s">
        <v>7</v>
      </c>
      <c r="B136" s="17">
        <f t="shared" si="14"/>
        <v>0</v>
      </c>
      <c r="C136" s="18" t="s">
        <v>8</v>
      </c>
      <c r="D136" s="19">
        <f t="shared" si="15"/>
        <v>0</v>
      </c>
      <c r="E136" s="20" t="s">
        <v>23</v>
      </c>
      <c r="F136" s="21">
        <f t="shared" si="16"/>
        <v>1</v>
      </c>
      <c r="G136" s="22" t="s">
        <v>24</v>
      </c>
      <c r="H136" s="23">
        <f t="shared" si="17"/>
        <v>0</v>
      </c>
      <c r="I136" s="24">
        <v>2</v>
      </c>
      <c r="J136" s="24">
        <v>18.260000000000002</v>
      </c>
      <c r="K136" s="25">
        <v>3.25</v>
      </c>
      <c r="L136" s="42">
        <f t="shared" si="18"/>
        <v>2.6773077756666019</v>
      </c>
      <c r="M136" s="42">
        <f t="shared" si="19"/>
        <v>0.57269222433339806</v>
      </c>
      <c r="N136" s="42">
        <f t="shared" si="20"/>
        <v>0.32797638381193511</v>
      </c>
      <c r="P136">
        <v>67</v>
      </c>
      <c r="Q136">
        <v>2.6186542207960835</v>
      </c>
      <c r="R136">
        <v>-0.14865422079608326</v>
      </c>
    </row>
    <row r="137" spans="1:18" x14ac:dyDescent="0.3">
      <c r="A137" s="16" t="s">
        <v>7</v>
      </c>
      <c r="B137" s="17">
        <f t="shared" si="14"/>
        <v>0</v>
      </c>
      <c r="C137" s="18" t="s">
        <v>8</v>
      </c>
      <c r="D137" s="19">
        <f t="shared" si="15"/>
        <v>0</v>
      </c>
      <c r="E137" s="20" t="s">
        <v>23</v>
      </c>
      <c r="F137" s="21">
        <f t="shared" si="16"/>
        <v>1</v>
      </c>
      <c r="G137" s="22" t="s">
        <v>24</v>
      </c>
      <c r="H137" s="23">
        <f t="shared" si="17"/>
        <v>0</v>
      </c>
      <c r="I137" s="24">
        <v>2</v>
      </c>
      <c r="J137" s="24">
        <v>8.51</v>
      </c>
      <c r="K137" s="25">
        <v>1.25</v>
      </c>
      <c r="L137" s="42">
        <f t="shared" si="18"/>
        <v>1.7582384692440334</v>
      </c>
      <c r="M137" s="42">
        <f t="shared" si="19"/>
        <v>-0.50823846924403338</v>
      </c>
      <c r="N137" s="42">
        <f t="shared" si="20"/>
        <v>0.25830634161951826</v>
      </c>
      <c r="P137">
        <v>68</v>
      </c>
      <c r="Q137">
        <v>1.1095996404915565</v>
      </c>
      <c r="R137">
        <v>-0.10959964049155646</v>
      </c>
    </row>
    <row r="138" spans="1:18" x14ac:dyDescent="0.3">
      <c r="A138" s="16" t="s">
        <v>7</v>
      </c>
      <c r="B138" s="17">
        <f t="shared" si="14"/>
        <v>0</v>
      </c>
      <c r="C138" s="18" t="s">
        <v>8</v>
      </c>
      <c r="D138" s="19">
        <f t="shared" si="15"/>
        <v>0</v>
      </c>
      <c r="E138" s="20" t="s">
        <v>23</v>
      </c>
      <c r="F138" s="21">
        <f t="shared" si="16"/>
        <v>1</v>
      </c>
      <c r="G138" s="22" t="s">
        <v>24</v>
      </c>
      <c r="H138" s="23">
        <f t="shared" si="17"/>
        <v>0</v>
      </c>
      <c r="I138" s="24">
        <v>2</v>
      </c>
      <c r="J138" s="24">
        <v>10.33</v>
      </c>
      <c r="K138" s="25">
        <v>2</v>
      </c>
      <c r="L138" s="42">
        <f t="shared" si="18"/>
        <v>1.9297980731095796</v>
      </c>
      <c r="M138" s="42">
        <f t="shared" si="19"/>
        <v>7.0201926890420374E-2</v>
      </c>
      <c r="N138" s="42">
        <f t="shared" si="20"/>
        <v>4.9283105391279272E-3</v>
      </c>
      <c r="P138">
        <v>69</v>
      </c>
      <c r="Q138">
        <v>2.9383378063658467</v>
      </c>
      <c r="R138">
        <v>-0.92833780636584695</v>
      </c>
    </row>
    <row r="139" spans="1:18" x14ac:dyDescent="0.3">
      <c r="A139" s="16" t="s">
        <v>7</v>
      </c>
      <c r="B139" s="17">
        <f t="shared" si="14"/>
        <v>0</v>
      </c>
      <c r="C139" s="18" t="s">
        <v>8</v>
      </c>
      <c r="D139" s="19">
        <f t="shared" si="15"/>
        <v>0</v>
      </c>
      <c r="E139" s="20" t="s">
        <v>23</v>
      </c>
      <c r="F139" s="21">
        <f t="shared" si="16"/>
        <v>1</v>
      </c>
      <c r="G139" s="22" t="s">
        <v>24</v>
      </c>
      <c r="H139" s="23">
        <f t="shared" si="17"/>
        <v>0</v>
      </c>
      <c r="I139" s="24">
        <v>2</v>
      </c>
      <c r="J139" s="24">
        <v>14.15</v>
      </c>
      <c r="K139" s="25">
        <v>2</v>
      </c>
      <c r="L139" s="42">
        <f t="shared" si="18"/>
        <v>2.2898847141900114</v>
      </c>
      <c r="M139" s="42">
        <f t="shared" si="19"/>
        <v>-0.28988471419001138</v>
      </c>
      <c r="N139" s="42">
        <f t="shared" si="20"/>
        <v>8.4033147521024587E-2</v>
      </c>
      <c r="P139">
        <v>70</v>
      </c>
      <c r="Q139">
        <v>2.3734379084450614</v>
      </c>
      <c r="R139">
        <v>-0.28343790844506156</v>
      </c>
    </row>
    <row r="140" spans="1:18" x14ac:dyDescent="0.3">
      <c r="A140" s="16" t="s">
        <v>11</v>
      </c>
      <c r="B140" s="17">
        <f t="shared" si="14"/>
        <v>1</v>
      </c>
      <c r="C140" s="18" t="s">
        <v>22</v>
      </c>
      <c r="D140" s="19">
        <f t="shared" si="15"/>
        <v>1</v>
      </c>
      <c r="E140" s="20" t="s">
        <v>23</v>
      </c>
      <c r="F140" s="21">
        <f t="shared" si="16"/>
        <v>1</v>
      </c>
      <c r="G140" s="22" t="s">
        <v>24</v>
      </c>
      <c r="H140" s="23">
        <f t="shared" si="17"/>
        <v>0</v>
      </c>
      <c r="I140" s="24">
        <v>2</v>
      </c>
      <c r="J140" s="24">
        <v>16</v>
      </c>
      <c r="K140" s="25">
        <v>2</v>
      </c>
      <c r="L140" s="42">
        <f t="shared" si="18"/>
        <v>2.3547953780574762</v>
      </c>
      <c r="M140" s="42">
        <f t="shared" si="19"/>
        <v>-0.35479537805747619</v>
      </c>
      <c r="N140" s="42">
        <f t="shared" si="20"/>
        <v>0.12587976029094744</v>
      </c>
      <c r="P140">
        <v>71</v>
      </c>
      <c r="Q140">
        <v>2.1644343185987402</v>
      </c>
      <c r="R140">
        <v>-0.19443431859874027</v>
      </c>
    </row>
    <row r="141" spans="1:18" x14ac:dyDescent="0.3">
      <c r="A141" s="16" t="s">
        <v>7</v>
      </c>
      <c r="B141" s="17">
        <f t="shared" si="14"/>
        <v>0</v>
      </c>
      <c r="C141" s="18" t="s">
        <v>8</v>
      </c>
      <c r="D141" s="19">
        <f t="shared" si="15"/>
        <v>0</v>
      </c>
      <c r="E141" s="20" t="s">
        <v>23</v>
      </c>
      <c r="F141" s="21">
        <f t="shared" si="16"/>
        <v>1</v>
      </c>
      <c r="G141" s="22" t="s">
        <v>24</v>
      </c>
      <c r="H141" s="23">
        <f t="shared" si="17"/>
        <v>0</v>
      </c>
      <c r="I141" s="24">
        <v>2</v>
      </c>
      <c r="J141" s="24">
        <v>13.16</v>
      </c>
      <c r="K141" s="25">
        <v>2.75</v>
      </c>
      <c r="L141" s="42">
        <f t="shared" si="18"/>
        <v>2.1965638307686426</v>
      </c>
      <c r="M141" s="42">
        <f t="shared" si="19"/>
        <v>0.55343616923135741</v>
      </c>
      <c r="N141" s="42">
        <f t="shared" si="20"/>
        <v>0.30629159341347967</v>
      </c>
      <c r="P141">
        <v>72</v>
      </c>
      <c r="Q141">
        <v>2.8520619728797061</v>
      </c>
      <c r="R141">
        <v>0.14793802712029391</v>
      </c>
    </row>
    <row r="142" spans="1:18" x14ac:dyDescent="0.3">
      <c r="A142" s="16" t="s">
        <v>7</v>
      </c>
      <c r="B142" s="17">
        <f t="shared" si="14"/>
        <v>0</v>
      </c>
      <c r="C142" s="18" t="s">
        <v>8</v>
      </c>
      <c r="D142" s="19">
        <f t="shared" si="15"/>
        <v>0</v>
      </c>
      <c r="E142" s="20" t="s">
        <v>23</v>
      </c>
      <c r="F142" s="21">
        <f t="shared" si="16"/>
        <v>1</v>
      </c>
      <c r="G142" s="22" t="s">
        <v>24</v>
      </c>
      <c r="H142" s="23">
        <f t="shared" si="17"/>
        <v>0</v>
      </c>
      <c r="I142" s="24">
        <v>2</v>
      </c>
      <c r="J142" s="24">
        <v>17.47</v>
      </c>
      <c r="K142" s="25">
        <v>3.5</v>
      </c>
      <c r="L142" s="42">
        <f t="shared" si="18"/>
        <v>2.6028395959667217</v>
      </c>
      <c r="M142" s="42">
        <f t="shared" si="19"/>
        <v>0.89716040403327835</v>
      </c>
      <c r="N142" s="42">
        <f t="shared" si="20"/>
        <v>0.80489679056515528</v>
      </c>
      <c r="P142">
        <v>73</v>
      </c>
      <c r="Q142">
        <v>3.5270931187096304</v>
      </c>
      <c r="R142">
        <v>-0.38709311870963026</v>
      </c>
    </row>
    <row r="143" spans="1:18" x14ac:dyDescent="0.3">
      <c r="A143" s="16" t="s">
        <v>11</v>
      </c>
      <c r="B143" s="17">
        <f t="shared" si="14"/>
        <v>1</v>
      </c>
      <c r="C143" s="18" t="s">
        <v>8</v>
      </c>
      <c r="D143" s="19">
        <f t="shared" si="15"/>
        <v>0</v>
      </c>
      <c r="E143" s="20" t="s">
        <v>23</v>
      </c>
      <c r="F143" s="21">
        <f t="shared" si="16"/>
        <v>1</v>
      </c>
      <c r="G143" s="22" t="s">
        <v>24</v>
      </c>
      <c r="H143" s="23">
        <f t="shared" si="17"/>
        <v>0</v>
      </c>
      <c r="I143" s="24">
        <v>6</v>
      </c>
      <c r="J143" s="24">
        <v>34.299999999999997</v>
      </c>
      <c r="K143" s="25">
        <v>6.7</v>
      </c>
      <c r="L143" s="42">
        <f t="shared" si="18"/>
        <v>4.3646833192953567</v>
      </c>
      <c r="M143" s="42">
        <f t="shared" si="19"/>
        <v>2.3353166807046435</v>
      </c>
      <c r="N143" s="42">
        <f t="shared" si="20"/>
        <v>5.4537039991773542</v>
      </c>
      <c r="P143">
        <v>74</v>
      </c>
      <c r="Q143">
        <v>3.3781567593098707</v>
      </c>
      <c r="R143">
        <v>1.6218432406901293</v>
      </c>
    </row>
    <row r="144" spans="1:18" x14ac:dyDescent="0.3">
      <c r="A144" s="16" t="s">
        <v>11</v>
      </c>
      <c r="B144" s="17">
        <f t="shared" si="14"/>
        <v>1</v>
      </c>
      <c r="C144" s="18" t="s">
        <v>8</v>
      </c>
      <c r="D144" s="19">
        <f t="shared" si="15"/>
        <v>0</v>
      </c>
      <c r="E144" s="20" t="s">
        <v>23</v>
      </c>
      <c r="F144" s="21">
        <f t="shared" si="16"/>
        <v>1</v>
      </c>
      <c r="G144" s="22" t="s">
        <v>24</v>
      </c>
      <c r="H144" s="23">
        <f t="shared" si="17"/>
        <v>0</v>
      </c>
      <c r="I144" s="24">
        <v>5</v>
      </c>
      <c r="J144" s="24">
        <v>41.19</v>
      </c>
      <c r="K144" s="25">
        <v>5</v>
      </c>
      <c r="L144" s="42">
        <f t="shared" si="18"/>
        <v>4.961153657517702</v>
      </c>
      <c r="M144" s="42">
        <f t="shared" si="19"/>
        <v>3.8846342482298013E-2</v>
      </c>
      <c r="N144" s="42">
        <f t="shared" si="20"/>
        <v>1.5090383242519914E-3</v>
      </c>
      <c r="P144">
        <v>75</v>
      </c>
      <c r="Q144">
        <v>2.4565209687912817</v>
      </c>
      <c r="R144">
        <v>-0.2565209687912815</v>
      </c>
    </row>
    <row r="145" spans="1:18" x14ac:dyDescent="0.3">
      <c r="A145" s="16" t="s">
        <v>7</v>
      </c>
      <c r="B145" s="17">
        <f t="shared" si="14"/>
        <v>0</v>
      </c>
      <c r="C145" s="18" t="s">
        <v>8</v>
      </c>
      <c r="D145" s="19">
        <f t="shared" si="15"/>
        <v>0</v>
      </c>
      <c r="E145" s="20" t="s">
        <v>23</v>
      </c>
      <c r="F145" s="21">
        <f t="shared" si="16"/>
        <v>1</v>
      </c>
      <c r="G145" s="22" t="s">
        <v>24</v>
      </c>
      <c r="H145" s="23">
        <f t="shared" si="17"/>
        <v>0</v>
      </c>
      <c r="I145" s="24">
        <v>6</v>
      </c>
      <c r="J145" s="24">
        <v>27.05</v>
      </c>
      <c r="K145" s="25">
        <v>5</v>
      </c>
      <c r="L145" s="42">
        <f t="shared" si="18"/>
        <v>3.7179053241577673</v>
      </c>
      <c r="M145" s="42">
        <f t="shared" si="19"/>
        <v>1.2820946758422327</v>
      </c>
      <c r="N145" s="42">
        <f t="shared" si="20"/>
        <v>1.6437667578229997</v>
      </c>
      <c r="P145">
        <v>76</v>
      </c>
      <c r="Q145">
        <v>2.0220964055015016</v>
      </c>
      <c r="R145">
        <v>-0.7720964055015016</v>
      </c>
    </row>
    <row r="146" spans="1:18" x14ac:dyDescent="0.3">
      <c r="A146" s="16" t="s">
        <v>7</v>
      </c>
      <c r="B146" s="17">
        <f t="shared" si="14"/>
        <v>0</v>
      </c>
      <c r="C146" s="18" t="s">
        <v>8</v>
      </c>
      <c r="D146" s="19">
        <f t="shared" si="15"/>
        <v>0</v>
      </c>
      <c r="E146" s="20" t="s">
        <v>23</v>
      </c>
      <c r="F146" s="21">
        <f t="shared" si="16"/>
        <v>1</v>
      </c>
      <c r="G146" s="22" t="s">
        <v>24</v>
      </c>
      <c r="H146" s="23">
        <f t="shared" si="17"/>
        <v>0</v>
      </c>
      <c r="I146" s="24">
        <v>2</v>
      </c>
      <c r="J146" s="24">
        <v>16.43</v>
      </c>
      <c r="K146" s="25">
        <v>2.2999999999999998</v>
      </c>
      <c r="L146" s="42">
        <f t="shared" si="18"/>
        <v>2.5048055366149811</v>
      </c>
      <c r="M146" s="42">
        <f t="shared" si="19"/>
        <v>-0.20480553661498124</v>
      </c>
      <c r="N146" s="42">
        <f t="shared" si="20"/>
        <v>4.1945307828150424E-2</v>
      </c>
      <c r="P146">
        <v>77</v>
      </c>
      <c r="Q146">
        <v>2.6477447475927205</v>
      </c>
      <c r="R146">
        <v>0.43225525240727958</v>
      </c>
    </row>
    <row r="147" spans="1:18" x14ac:dyDescent="0.3">
      <c r="A147" s="16" t="s">
        <v>7</v>
      </c>
      <c r="B147" s="17">
        <f t="shared" si="14"/>
        <v>0</v>
      </c>
      <c r="C147" s="18" t="s">
        <v>8</v>
      </c>
      <c r="D147" s="19">
        <f t="shared" si="15"/>
        <v>0</v>
      </c>
      <c r="E147" s="20" t="s">
        <v>23</v>
      </c>
      <c r="F147" s="21">
        <f t="shared" si="16"/>
        <v>1</v>
      </c>
      <c r="G147" s="22" t="s">
        <v>24</v>
      </c>
      <c r="H147" s="23">
        <f t="shared" si="17"/>
        <v>0</v>
      </c>
      <c r="I147" s="24">
        <v>2</v>
      </c>
      <c r="J147" s="24">
        <v>8.35</v>
      </c>
      <c r="K147" s="25">
        <v>1.5</v>
      </c>
      <c r="L147" s="42">
        <f t="shared" si="18"/>
        <v>1.7431563062668425</v>
      </c>
      <c r="M147" s="42">
        <f t="shared" si="19"/>
        <v>-0.24315630626684248</v>
      </c>
      <c r="N147" s="42">
        <f t="shared" si="20"/>
        <v>5.9124989277334498E-2</v>
      </c>
      <c r="P147">
        <v>78</v>
      </c>
      <c r="Q147">
        <v>3.9552789239088582</v>
      </c>
      <c r="R147">
        <v>4.4721076091141843E-2</v>
      </c>
    </row>
    <row r="148" spans="1:18" x14ac:dyDescent="0.3">
      <c r="A148" s="16" t="s">
        <v>7</v>
      </c>
      <c r="B148" s="17">
        <f t="shared" si="14"/>
        <v>0</v>
      </c>
      <c r="C148" s="18" t="s">
        <v>8</v>
      </c>
      <c r="D148" s="19">
        <f t="shared" si="15"/>
        <v>0</v>
      </c>
      <c r="E148" s="20" t="s">
        <v>23</v>
      </c>
      <c r="F148" s="21">
        <f t="shared" si="16"/>
        <v>1</v>
      </c>
      <c r="G148" s="22" t="s">
        <v>24</v>
      </c>
      <c r="H148" s="23">
        <f t="shared" si="17"/>
        <v>0</v>
      </c>
      <c r="I148" s="24">
        <v>3</v>
      </c>
      <c r="J148" s="24">
        <v>18.64</v>
      </c>
      <c r="K148" s="25">
        <v>1.36</v>
      </c>
      <c r="L148" s="42">
        <f t="shared" si="18"/>
        <v>2.7661332177203657</v>
      </c>
      <c r="M148" s="42">
        <f t="shared" si="19"/>
        <v>-1.4061332177203656</v>
      </c>
      <c r="N148" s="42">
        <f t="shared" si="20"/>
        <v>1.9772106259766291</v>
      </c>
      <c r="P148">
        <v>79</v>
      </c>
      <c r="Q148">
        <v>3.1868201601977959</v>
      </c>
      <c r="R148">
        <v>-0.1868201601977959</v>
      </c>
    </row>
    <row r="149" spans="1:18" x14ac:dyDescent="0.3">
      <c r="A149" s="16" t="s">
        <v>7</v>
      </c>
      <c r="B149" s="17">
        <f t="shared" si="14"/>
        <v>0</v>
      </c>
      <c r="C149" s="18" t="s">
        <v>8</v>
      </c>
      <c r="D149" s="19">
        <f t="shared" si="15"/>
        <v>0</v>
      </c>
      <c r="E149" s="20" t="s">
        <v>23</v>
      </c>
      <c r="F149" s="21">
        <f t="shared" si="16"/>
        <v>1</v>
      </c>
      <c r="G149" s="22" t="s">
        <v>24</v>
      </c>
      <c r="H149" s="23">
        <f t="shared" si="17"/>
        <v>0</v>
      </c>
      <c r="I149" s="24">
        <v>2</v>
      </c>
      <c r="J149" s="24">
        <v>11.87</v>
      </c>
      <c r="K149" s="25">
        <v>1.63</v>
      </c>
      <c r="L149" s="42">
        <f t="shared" si="18"/>
        <v>2.0749638917650417</v>
      </c>
      <c r="M149" s="42">
        <f t="shared" si="19"/>
        <v>-0.44496389176504181</v>
      </c>
      <c r="N149" s="42">
        <f t="shared" si="20"/>
        <v>0.19799286497469185</v>
      </c>
      <c r="P149">
        <v>80</v>
      </c>
      <c r="Q149">
        <v>2.671198713415083</v>
      </c>
      <c r="R149">
        <v>3.8801286584916994E-2</v>
      </c>
    </row>
    <row r="150" spans="1:18" x14ac:dyDescent="0.3">
      <c r="A150" s="16" t="s">
        <v>11</v>
      </c>
      <c r="B150" s="17">
        <f t="shared" si="14"/>
        <v>1</v>
      </c>
      <c r="C150" s="18" t="s">
        <v>8</v>
      </c>
      <c r="D150" s="19">
        <f t="shared" si="15"/>
        <v>0</v>
      </c>
      <c r="E150" s="20" t="s">
        <v>23</v>
      </c>
      <c r="F150" s="21">
        <f t="shared" si="16"/>
        <v>1</v>
      </c>
      <c r="G150" s="22" t="s">
        <v>24</v>
      </c>
      <c r="H150" s="23">
        <f t="shared" si="17"/>
        <v>0</v>
      </c>
      <c r="I150" s="24">
        <v>2</v>
      </c>
      <c r="J150" s="24">
        <v>9.7799999999999994</v>
      </c>
      <c r="K150" s="25">
        <v>1.73</v>
      </c>
      <c r="L150" s="42">
        <f t="shared" si="18"/>
        <v>1.8413206231091146</v>
      </c>
      <c r="M150" s="42">
        <f t="shared" si="19"/>
        <v>-0.11132062310911461</v>
      </c>
      <c r="N150" s="42">
        <f t="shared" si="20"/>
        <v>1.2392281129401543E-2</v>
      </c>
      <c r="P150">
        <v>81</v>
      </c>
      <c r="Q150">
        <v>2.8010209476311521</v>
      </c>
      <c r="R150">
        <v>0.19897905236884794</v>
      </c>
    </row>
    <row r="151" spans="1:18" x14ac:dyDescent="0.3">
      <c r="A151" s="16" t="s">
        <v>11</v>
      </c>
      <c r="B151" s="17">
        <f t="shared" si="14"/>
        <v>1</v>
      </c>
      <c r="C151" s="18" t="s">
        <v>8</v>
      </c>
      <c r="D151" s="19">
        <f t="shared" si="15"/>
        <v>0</v>
      </c>
      <c r="E151" s="20" t="s">
        <v>23</v>
      </c>
      <c r="F151" s="21">
        <f t="shared" si="16"/>
        <v>1</v>
      </c>
      <c r="G151" s="22" t="s">
        <v>24</v>
      </c>
      <c r="H151" s="23">
        <f t="shared" si="17"/>
        <v>0</v>
      </c>
      <c r="I151" s="24">
        <v>2</v>
      </c>
      <c r="J151" s="24">
        <v>7.51</v>
      </c>
      <c r="K151" s="25">
        <v>2</v>
      </c>
      <c r="L151" s="42">
        <f t="shared" si="18"/>
        <v>1.6273424358702191</v>
      </c>
      <c r="M151" s="42">
        <f t="shared" si="19"/>
        <v>0.3726575641297809</v>
      </c>
      <c r="N151" s="42">
        <f t="shared" si="20"/>
        <v>0.13887366010314176</v>
      </c>
      <c r="P151">
        <v>82</v>
      </c>
      <c r="Q151">
        <v>2.611812696692394</v>
      </c>
      <c r="R151">
        <v>0.78818730330760589</v>
      </c>
    </row>
    <row r="152" spans="1:18" x14ac:dyDescent="0.3">
      <c r="A152" s="16" t="s">
        <v>11</v>
      </c>
      <c r="B152" s="17">
        <f t="shared" si="14"/>
        <v>1</v>
      </c>
      <c r="C152" s="18" t="s">
        <v>8</v>
      </c>
      <c r="D152" s="19">
        <f t="shared" si="15"/>
        <v>0</v>
      </c>
      <c r="E152" s="20" t="s">
        <v>9</v>
      </c>
      <c r="F152" s="21">
        <f t="shared" si="16"/>
        <v>4</v>
      </c>
      <c r="G152" s="22" t="s">
        <v>10</v>
      </c>
      <c r="H152" s="23">
        <f t="shared" si="17"/>
        <v>1</v>
      </c>
      <c r="I152" s="24">
        <v>2</v>
      </c>
      <c r="J152" s="24">
        <v>14.07</v>
      </c>
      <c r="K152" s="25">
        <v>2.5</v>
      </c>
      <c r="L152" s="42">
        <f t="shared" si="18"/>
        <v>2.6545979678550791</v>
      </c>
      <c r="M152" s="42">
        <f t="shared" si="19"/>
        <v>-0.15459796785507907</v>
      </c>
      <c r="N152" s="42">
        <f t="shared" si="20"/>
        <v>2.3900531664920059E-2</v>
      </c>
      <c r="P152">
        <v>83</v>
      </c>
      <c r="Q152">
        <v>1.8522842532887087</v>
      </c>
      <c r="R152">
        <v>-2.2284253288708644E-2</v>
      </c>
    </row>
    <row r="153" spans="1:18" x14ac:dyDescent="0.3">
      <c r="A153" s="16" t="s">
        <v>11</v>
      </c>
      <c r="B153" s="17">
        <f t="shared" si="14"/>
        <v>1</v>
      </c>
      <c r="C153" s="18" t="s">
        <v>8</v>
      </c>
      <c r="D153" s="19">
        <f t="shared" si="15"/>
        <v>0</v>
      </c>
      <c r="E153" s="20" t="s">
        <v>9</v>
      </c>
      <c r="F153" s="21">
        <f t="shared" si="16"/>
        <v>4</v>
      </c>
      <c r="G153" s="22" t="s">
        <v>10</v>
      </c>
      <c r="H153" s="23">
        <f t="shared" si="17"/>
        <v>1</v>
      </c>
      <c r="I153" s="24">
        <v>2</v>
      </c>
      <c r="J153" s="24">
        <v>13.13</v>
      </c>
      <c r="K153" s="25">
        <v>2</v>
      </c>
      <c r="L153" s="42">
        <f t="shared" si="18"/>
        <v>2.5659902603640825</v>
      </c>
      <c r="M153" s="42">
        <f t="shared" si="19"/>
        <v>-0.56599026036408251</v>
      </c>
      <c r="N153" s="42">
        <f t="shared" si="20"/>
        <v>0.32034497482700192</v>
      </c>
      <c r="P153">
        <v>84</v>
      </c>
      <c r="Q153">
        <v>4.049069933993696</v>
      </c>
      <c r="R153">
        <v>0.95093006600630403</v>
      </c>
    </row>
    <row r="154" spans="1:18" x14ac:dyDescent="0.3">
      <c r="A154" s="16" t="s">
        <v>11</v>
      </c>
      <c r="B154" s="17">
        <f t="shared" si="14"/>
        <v>1</v>
      </c>
      <c r="C154" s="18" t="s">
        <v>8</v>
      </c>
      <c r="D154" s="19">
        <f t="shared" si="15"/>
        <v>0</v>
      </c>
      <c r="E154" s="20" t="s">
        <v>9</v>
      </c>
      <c r="F154" s="21">
        <f t="shared" si="16"/>
        <v>4</v>
      </c>
      <c r="G154" s="22" t="s">
        <v>10</v>
      </c>
      <c r="H154" s="23">
        <f t="shared" si="17"/>
        <v>1</v>
      </c>
      <c r="I154" s="24">
        <v>3</v>
      </c>
      <c r="J154" s="24">
        <v>17.260000000000002</v>
      </c>
      <c r="K154" s="25">
        <v>2.74</v>
      </c>
      <c r="L154" s="42">
        <f t="shared" si="18"/>
        <v>3.0083038971957574</v>
      </c>
      <c r="M154" s="42">
        <f t="shared" si="19"/>
        <v>-0.2683038971957572</v>
      </c>
      <c r="N154" s="42">
        <f t="shared" si="20"/>
        <v>7.1986981250431445E-2</v>
      </c>
      <c r="P154">
        <v>85</v>
      </c>
      <c r="Q154">
        <v>2.5477135040393328</v>
      </c>
      <c r="R154">
        <v>-0.51771350403933303</v>
      </c>
    </row>
    <row r="155" spans="1:18" x14ac:dyDescent="0.3">
      <c r="A155" s="16" t="s">
        <v>11</v>
      </c>
      <c r="B155" s="17">
        <f t="shared" si="14"/>
        <v>1</v>
      </c>
      <c r="C155" s="18" t="s">
        <v>8</v>
      </c>
      <c r="D155" s="19">
        <f t="shared" si="15"/>
        <v>0</v>
      </c>
      <c r="E155" s="20" t="s">
        <v>9</v>
      </c>
      <c r="F155" s="21">
        <f t="shared" si="16"/>
        <v>4</v>
      </c>
      <c r="G155" s="22" t="s">
        <v>10</v>
      </c>
      <c r="H155" s="23">
        <f t="shared" si="17"/>
        <v>1</v>
      </c>
      <c r="I155" s="24">
        <v>4</v>
      </c>
      <c r="J155" s="24">
        <v>24.55</v>
      </c>
      <c r="K155" s="25">
        <v>2</v>
      </c>
      <c r="L155" s="42">
        <f t="shared" si="18"/>
        <v>3.7484902528269521</v>
      </c>
      <c r="M155" s="42">
        <f t="shared" si="19"/>
        <v>-1.7484902528269521</v>
      </c>
      <c r="N155" s="42">
        <f t="shared" si="20"/>
        <v>3.0572181642308589</v>
      </c>
      <c r="P155">
        <v>86</v>
      </c>
      <c r="Q155">
        <v>4.7111420856500184</v>
      </c>
      <c r="R155">
        <v>0.45885791434998158</v>
      </c>
    </row>
    <row r="156" spans="1:18" x14ac:dyDescent="0.3">
      <c r="A156" s="16" t="s">
        <v>11</v>
      </c>
      <c r="B156" s="17">
        <f t="shared" si="14"/>
        <v>1</v>
      </c>
      <c r="C156" s="18" t="s">
        <v>8</v>
      </c>
      <c r="D156" s="19">
        <f t="shared" si="15"/>
        <v>0</v>
      </c>
      <c r="E156" s="20" t="s">
        <v>9</v>
      </c>
      <c r="F156" s="21">
        <f t="shared" si="16"/>
        <v>4</v>
      </c>
      <c r="G156" s="22" t="s">
        <v>10</v>
      </c>
      <c r="H156" s="23">
        <f t="shared" si="17"/>
        <v>1</v>
      </c>
      <c r="I156" s="24">
        <v>4</v>
      </c>
      <c r="J156" s="24">
        <v>19.77</v>
      </c>
      <c r="K156" s="25">
        <v>2</v>
      </c>
      <c r="L156" s="42">
        <f t="shared" si="18"/>
        <v>3.297910633883375</v>
      </c>
      <c r="M156" s="42">
        <f t="shared" si="19"/>
        <v>-1.297910633883375</v>
      </c>
      <c r="N156" s="42">
        <f t="shared" si="20"/>
        <v>1.6845720135475444</v>
      </c>
      <c r="P156">
        <v>87</v>
      </c>
      <c r="Q156">
        <v>2.2696361241473761</v>
      </c>
      <c r="R156">
        <v>-0.26963612414737614</v>
      </c>
    </row>
    <row r="157" spans="1:18" x14ac:dyDescent="0.3">
      <c r="A157" s="16" t="s">
        <v>7</v>
      </c>
      <c r="B157" s="17">
        <f t="shared" si="14"/>
        <v>0</v>
      </c>
      <c r="C157" s="18" t="s">
        <v>8</v>
      </c>
      <c r="D157" s="19">
        <f t="shared" si="15"/>
        <v>0</v>
      </c>
      <c r="E157" s="20" t="s">
        <v>9</v>
      </c>
      <c r="F157" s="21">
        <f t="shared" si="16"/>
        <v>4</v>
      </c>
      <c r="G157" s="22" t="s">
        <v>10</v>
      </c>
      <c r="H157" s="23">
        <f t="shared" si="17"/>
        <v>1</v>
      </c>
      <c r="I157" s="24">
        <v>5</v>
      </c>
      <c r="J157" s="24">
        <v>29.85</v>
      </c>
      <c r="K157" s="25">
        <v>5.14</v>
      </c>
      <c r="L157" s="42">
        <f t="shared" si="18"/>
        <v>4.3377247211957055</v>
      </c>
      <c r="M157" s="42">
        <f t="shared" si="19"/>
        <v>0.80227527880429417</v>
      </c>
      <c r="N157" s="42">
        <f t="shared" si="20"/>
        <v>0.64364562298050798</v>
      </c>
      <c r="P157">
        <v>88</v>
      </c>
      <c r="Q157">
        <v>2.7645195968364518</v>
      </c>
      <c r="R157">
        <v>1.2354804031635482</v>
      </c>
    </row>
    <row r="158" spans="1:18" x14ac:dyDescent="0.3">
      <c r="A158" s="16" t="s">
        <v>11</v>
      </c>
      <c r="B158" s="17">
        <f t="shared" si="14"/>
        <v>1</v>
      </c>
      <c r="C158" s="18" t="s">
        <v>8</v>
      </c>
      <c r="D158" s="19">
        <f t="shared" si="15"/>
        <v>0</v>
      </c>
      <c r="E158" s="20" t="s">
        <v>9</v>
      </c>
      <c r="F158" s="21">
        <f t="shared" si="16"/>
        <v>4</v>
      </c>
      <c r="G158" s="22" t="s">
        <v>10</v>
      </c>
      <c r="H158" s="23">
        <f t="shared" si="17"/>
        <v>1</v>
      </c>
      <c r="I158" s="24">
        <v>6</v>
      </c>
      <c r="J158" s="24">
        <v>48.17</v>
      </c>
      <c r="K158" s="25">
        <v>5</v>
      </c>
      <c r="L158" s="42">
        <f t="shared" si="18"/>
        <v>6.0810051723006238</v>
      </c>
      <c r="M158" s="42">
        <f t="shared" si="19"/>
        <v>-1.0810051723006238</v>
      </c>
      <c r="N158" s="42">
        <f t="shared" si="20"/>
        <v>1.1685721825407012</v>
      </c>
      <c r="P158">
        <v>89</v>
      </c>
      <c r="Q158">
        <v>3.3706340214823096</v>
      </c>
      <c r="R158">
        <v>2.47936597851769</v>
      </c>
    </row>
    <row r="159" spans="1:18" x14ac:dyDescent="0.3">
      <c r="A159" s="16" t="s">
        <v>7</v>
      </c>
      <c r="B159" s="17">
        <f t="shared" si="14"/>
        <v>0</v>
      </c>
      <c r="C159" s="18" t="s">
        <v>8</v>
      </c>
      <c r="D159" s="19">
        <f t="shared" si="15"/>
        <v>0</v>
      </c>
      <c r="E159" s="20" t="s">
        <v>9</v>
      </c>
      <c r="F159" s="21">
        <f t="shared" si="16"/>
        <v>4</v>
      </c>
      <c r="G159" s="22" t="s">
        <v>10</v>
      </c>
      <c r="H159" s="23">
        <f t="shared" si="17"/>
        <v>1</v>
      </c>
      <c r="I159" s="24">
        <v>4</v>
      </c>
      <c r="J159" s="24">
        <v>25</v>
      </c>
      <c r="K159" s="25">
        <v>3.75</v>
      </c>
      <c r="L159" s="42">
        <f t="shared" si="18"/>
        <v>3.8275413509666723</v>
      </c>
      <c r="M159" s="42">
        <f t="shared" si="19"/>
        <v>-7.7541350966672251E-2</v>
      </c>
      <c r="N159" s="42">
        <f t="shared" si="20"/>
        <v>6.0126611097366433E-3</v>
      </c>
      <c r="P159">
        <v>90</v>
      </c>
      <c r="Q159">
        <v>3.0359985304258874</v>
      </c>
      <c r="R159">
        <v>-3.5998530425887409E-2</v>
      </c>
    </row>
    <row r="160" spans="1:18" x14ac:dyDescent="0.3">
      <c r="A160" s="16" t="s">
        <v>7</v>
      </c>
      <c r="B160" s="17">
        <f t="shared" si="14"/>
        <v>0</v>
      </c>
      <c r="C160" s="18" t="s">
        <v>8</v>
      </c>
      <c r="D160" s="19">
        <f t="shared" si="15"/>
        <v>0</v>
      </c>
      <c r="E160" s="20" t="s">
        <v>9</v>
      </c>
      <c r="F160" s="21">
        <f t="shared" si="16"/>
        <v>4</v>
      </c>
      <c r="G160" s="22" t="s">
        <v>10</v>
      </c>
      <c r="H160" s="23">
        <f t="shared" si="17"/>
        <v>1</v>
      </c>
      <c r="I160" s="24">
        <v>2</v>
      </c>
      <c r="J160" s="24">
        <v>13.39</v>
      </c>
      <c r="K160" s="25">
        <v>2.61</v>
      </c>
      <c r="L160" s="42">
        <f t="shared" si="18"/>
        <v>2.6271312899683892</v>
      </c>
      <c r="M160" s="42">
        <f t="shared" si="19"/>
        <v>-1.7131289968389307E-2</v>
      </c>
      <c r="N160" s="42">
        <f t="shared" si="20"/>
        <v>2.9348109598103611E-4</v>
      </c>
      <c r="P160">
        <v>91</v>
      </c>
      <c r="Q160">
        <v>3.6363513232220281</v>
      </c>
      <c r="R160">
        <v>-0.63635132322202814</v>
      </c>
    </row>
    <row r="161" spans="1:18" x14ac:dyDescent="0.3">
      <c r="A161" s="16" t="s">
        <v>11</v>
      </c>
      <c r="B161" s="17">
        <f t="shared" si="14"/>
        <v>1</v>
      </c>
      <c r="C161" s="18" t="s">
        <v>8</v>
      </c>
      <c r="D161" s="19">
        <f t="shared" si="15"/>
        <v>0</v>
      </c>
      <c r="E161" s="20" t="s">
        <v>9</v>
      </c>
      <c r="F161" s="21">
        <f t="shared" si="16"/>
        <v>4</v>
      </c>
      <c r="G161" s="22" t="s">
        <v>10</v>
      </c>
      <c r="H161" s="23">
        <f t="shared" si="17"/>
        <v>1</v>
      </c>
      <c r="I161" s="24">
        <v>4</v>
      </c>
      <c r="J161" s="24">
        <v>16.489999999999998</v>
      </c>
      <c r="K161" s="25">
        <v>2</v>
      </c>
      <c r="L161" s="42">
        <f t="shared" si="18"/>
        <v>2.9887262928509619</v>
      </c>
      <c r="M161" s="42">
        <f t="shared" si="19"/>
        <v>-0.98872629285096192</v>
      </c>
      <c r="N161" s="42">
        <f t="shared" si="20"/>
        <v>0.97757968217480606</v>
      </c>
      <c r="P161">
        <v>92</v>
      </c>
      <c r="Q161">
        <v>3.0983680534357312</v>
      </c>
      <c r="R161">
        <v>0.40163194656426882</v>
      </c>
    </row>
    <row r="162" spans="1:18" x14ac:dyDescent="0.3">
      <c r="A162" s="16" t="s">
        <v>11</v>
      </c>
      <c r="B162" s="17">
        <f t="shared" si="14"/>
        <v>1</v>
      </c>
      <c r="C162" s="18" t="s">
        <v>8</v>
      </c>
      <c r="D162" s="19">
        <f t="shared" si="15"/>
        <v>0</v>
      </c>
      <c r="E162" s="20" t="s">
        <v>9</v>
      </c>
      <c r="F162" s="21">
        <f t="shared" si="16"/>
        <v>4</v>
      </c>
      <c r="G162" s="22" t="s">
        <v>10</v>
      </c>
      <c r="H162" s="23">
        <f t="shared" si="17"/>
        <v>1</v>
      </c>
      <c r="I162" s="24">
        <v>4</v>
      </c>
      <c r="J162" s="24">
        <v>21.5</v>
      </c>
      <c r="K162" s="25">
        <v>3.5</v>
      </c>
      <c r="L162" s="42">
        <f t="shared" si="18"/>
        <v>3.460986521074251</v>
      </c>
      <c r="M162" s="42">
        <f t="shared" si="19"/>
        <v>3.9013478925749023E-2</v>
      </c>
      <c r="N162" s="42">
        <f t="shared" si="20"/>
        <v>1.5220515378898633E-3</v>
      </c>
      <c r="P162">
        <v>93</v>
      </c>
      <c r="Q162">
        <v>1.4841849359235759</v>
      </c>
      <c r="R162">
        <v>-0.48418493592357592</v>
      </c>
    </row>
    <row r="163" spans="1:18" x14ac:dyDescent="0.3">
      <c r="A163" s="16" t="s">
        <v>11</v>
      </c>
      <c r="B163" s="17">
        <f t="shared" si="14"/>
        <v>1</v>
      </c>
      <c r="C163" s="18" t="s">
        <v>8</v>
      </c>
      <c r="D163" s="19">
        <f t="shared" si="15"/>
        <v>0</v>
      </c>
      <c r="E163" s="20" t="s">
        <v>9</v>
      </c>
      <c r="F163" s="21">
        <f t="shared" si="16"/>
        <v>4</v>
      </c>
      <c r="G163" s="22" t="s">
        <v>10</v>
      </c>
      <c r="H163" s="23">
        <f t="shared" si="17"/>
        <v>1</v>
      </c>
      <c r="I163" s="24">
        <v>2</v>
      </c>
      <c r="J163" s="24">
        <v>12.66</v>
      </c>
      <c r="K163" s="25">
        <v>2.5</v>
      </c>
      <c r="L163" s="42">
        <f t="shared" si="18"/>
        <v>2.5216864066185845</v>
      </c>
      <c r="M163" s="42">
        <f t="shared" si="19"/>
        <v>-2.1686406618584453E-2</v>
      </c>
      <c r="N163" s="42">
        <f t="shared" si="20"/>
        <v>4.7030023202658354E-4</v>
      </c>
      <c r="P163">
        <v>94</v>
      </c>
      <c r="Q163">
        <v>2.4805503276042469</v>
      </c>
      <c r="R163">
        <v>1.8194496723957529</v>
      </c>
    </row>
    <row r="164" spans="1:18" x14ac:dyDescent="0.3">
      <c r="A164" s="16" t="s">
        <v>7</v>
      </c>
      <c r="B164" s="17">
        <f t="shared" si="14"/>
        <v>0</v>
      </c>
      <c r="C164" s="18" t="s">
        <v>8</v>
      </c>
      <c r="D164" s="19">
        <f t="shared" si="15"/>
        <v>0</v>
      </c>
      <c r="E164" s="20" t="s">
        <v>9</v>
      </c>
      <c r="F164" s="21">
        <f t="shared" si="16"/>
        <v>4</v>
      </c>
      <c r="G164" s="22" t="s">
        <v>10</v>
      </c>
      <c r="H164" s="23">
        <f t="shared" si="17"/>
        <v>1</v>
      </c>
      <c r="I164" s="24">
        <v>3</v>
      </c>
      <c r="J164" s="24">
        <v>16.21</v>
      </c>
      <c r="K164" s="25">
        <v>2</v>
      </c>
      <c r="L164" s="42">
        <f t="shared" si="18"/>
        <v>2.945959717424314</v>
      </c>
      <c r="M164" s="42">
        <f t="shared" si="19"/>
        <v>-0.94595971742431395</v>
      </c>
      <c r="N164" s="42">
        <f t="shared" si="20"/>
        <v>0.89483978698948785</v>
      </c>
      <c r="P164">
        <v>95</v>
      </c>
      <c r="Q164">
        <v>3.1595090830400379</v>
      </c>
      <c r="R164">
        <v>9.0490916959962142E-2</v>
      </c>
    </row>
    <row r="165" spans="1:18" x14ac:dyDescent="0.3">
      <c r="A165" s="16" t="s">
        <v>11</v>
      </c>
      <c r="B165" s="17">
        <f t="shared" si="14"/>
        <v>1</v>
      </c>
      <c r="C165" s="18" t="s">
        <v>8</v>
      </c>
      <c r="D165" s="19">
        <f t="shared" si="15"/>
        <v>0</v>
      </c>
      <c r="E165" s="20" t="s">
        <v>9</v>
      </c>
      <c r="F165" s="21">
        <f t="shared" si="16"/>
        <v>4</v>
      </c>
      <c r="G165" s="22" t="s">
        <v>10</v>
      </c>
      <c r="H165" s="23">
        <f t="shared" si="17"/>
        <v>1</v>
      </c>
      <c r="I165" s="24">
        <v>2</v>
      </c>
      <c r="J165" s="24">
        <v>13.81</v>
      </c>
      <c r="K165" s="25">
        <v>2</v>
      </c>
      <c r="L165" s="42">
        <f t="shared" si="18"/>
        <v>2.6300894530171437</v>
      </c>
      <c r="M165" s="42">
        <f t="shared" si="19"/>
        <v>-0.6300894530171437</v>
      </c>
      <c r="N165" s="42">
        <f t="shared" si="20"/>
        <v>0.39701271880344335</v>
      </c>
      <c r="P165">
        <v>96</v>
      </c>
      <c r="Q165">
        <v>5.0420314727194047</v>
      </c>
      <c r="R165">
        <v>-0.31203147271940423</v>
      </c>
    </row>
    <row r="166" spans="1:18" x14ac:dyDescent="0.3">
      <c r="A166" s="16" t="s">
        <v>7</v>
      </c>
      <c r="B166" s="17">
        <f t="shared" si="14"/>
        <v>0</v>
      </c>
      <c r="C166" s="18" t="s">
        <v>22</v>
      </c>
      <c r="D166" s="19">
        <f t="shared" si="15"/>
        <v>1</v>
      </c>
      <c r="E166" s="20" t="s">
        <v>9</v>
      </c>
      <c r="F166" s="21">
        <f t="shared" si="16"/>
        <v>4</v>
      </c>
      <c r="G166" s="22" t="s">
        <v>10</v>
      </c>
      <c r="H166" s="23">
        <f t="shared" si="17"/>
        <v>1</v>
      </c>
      <c r="I166" s="24">
        <v>2</v>
      </c>
      <c r="J166" s="24">
        <v>17.510000000000002</v>
      </c>
      <c r="K166" s="25">
        <v>3</v>
      </c>
      <c r="L166" s="42">
        <f t="shared" si="18"/>
        <v>2.9426526558411208</v>
      </c>
      <c r="M166" s="42">
        <f t="shared" si="19"/>
        <v>5.734734415887921E-2</v>
      </c>
      <c r="N166" s="42">
        <f t="shared" si="20"/>
        <v>3.2887178820769376E-3</v>
      </c>
      <c r="P166">
        <v>97</v>
      </c>
      <c r="Q166">
        <v>3.4770459767754502</v>
      </c>
      <c r="R166">
        <v>0.52295402322454976</v>
      </c>
    </row>
    <row r="167" spans="1:18" x14ac:dyDescent="0.3">
      <c r="A167" s="16" t="s">
        <v>11</v>
      </c>
      <c r="B167" s="17">
        <f t="shared" si="14"/>
        <v>1</v>
      </c>
      <c r="C167" s="18" t="s">
        <v>8</v>
      </c>
      <c r="D167" s="19">
        <f t="shared" si="15"/>
        <v>0</v>
      </c>
      <c r="E167" s="20" t="s">
        <v>9</v>
      </c>
      <c r="F167" s="21">
        <f t="shared" si="16"/>
        <v>4</v>
      </c>
      <c r="G167" s="22" t="s">
        <v>10</v>
      </c>
      <c r="H167" s="23">
        <f t="shared" si="17"/>
        <v>1</v>
      </c>
      <c r="I167" s="24">
        <v>3</v>
      </c>
      <c r="J167" s="24">
        <v>24.52</v>
      </c>
      <c r="K167" s="25">
        <v>3.48</v>
      </c>
      <c r="L167" s="42">
        <f t="shared" si="18"/>
        <v>3.6926570422857932</v>
      </c>
      <c r="M167" s="42">
        <f t="shared" si="19"/>
        <v>-0.21265704228579319</v>
      </c>
      <c r="N167" s="42">
        <f t="shared" si="20"/>
        <v>4.5223017633741633E-2</v>
      </c>
      <c r="P167">
        <v>98</v>
      </c>
      <c r="Q167">
        <v>2.0395273180119462</v>
      </c>
      <c r="R167">
        <v>-0.5395273180119462</v>
      </c>
    </row>
    <row r="168" spans="1:18" x14ac:dyDescent="0.3">
      <c r="A168" s="16" t="s">
        <v>11</v>
      </c>
      <c r="B168" s="17">
        <f t="shared" si="14"/>
        <v>1</v>
      </c>
      <c r="C168" s="18" t="s">
        <v>8</v>
      </c>
      <c r="D168" s="19">
        <f t="shared" si="15"/>
        <v>0</v>
      </c>
      <c r="E168" s="20" t="s">
        <v>9</v>
      </c>
      <c r="F168" s="21">
        <f t="shared" si="16"/>
        <v>4</v>
      </c>
      <c r="G168" s="22" t="s">
        <v>10</v>
      </c>
      <c r="H168" s="23">
        <f t="shared" si="17"/>
        <v>1</v>
      </c>
      <c r="I168" s="24">
        <v>2</v>
      </c>
      <c r="J168" s="24">
        <v>20.76</v>
      </c>
      <c r="K168" s="25">
        <v>2.2400000000000002</v>
      </c>
      <c r="L168" s="42">
        <f t="shared" si="18"/>
        <v>3.2852209073388723</v>
      </c>
      <c r="M168" s="42">
        <f t="shared" si="19"/>
        <v>-1.0452209073388721</v>
      </c>
      <c r="N168" s="42">
        <f t="shared" si="20"/>
        <v>1.0924867451382949</v>
      </c>
      <c r="P168">
        <v>99</v>
      </c>
      <c r="Q168">
        <v>2.8860137151067833</v>
      </c>
      <c r="R168">
        <v>0.11398628489321672</v>
      </c>
    </row>
    <row r="169" spans="1:18" x14ac:dyDescent="0.3">
      <c r="A169" s="16" t="s">
        <v>11</v>
      </c>
      <c r="B169" s="17">
        <f t="shared" si="14"/>
        <v>1</v>
      </c>
      <c r="C169" s="18" t="s">
        <v>8</v>
      </c>
      <c r="D169" s="19">
        <f t="shared" si="15"/>
        <v>0</v>
      </c>
      <c r="E169" s="20" t="s">
        <v>9</v>
      </c>
      <c r="F169" s="21">
        <f t="shared" si="16"/>
        <v>4</v>
      </c>
      <c r="G169" s="22" t="s">
        <v>10</v>
      </c>
      <c r="H169" s="23">
        <f t="shared" si="17"/>
        <v>1</v>
      </c>
      <c r="I169" s="24">
        <v>4</v>
      </c>
      <c r="J169" s="24">
        <v>31.71</v>
      </c>
      <c r="K169" s="25">
        <v>4.5</v>
      </c>
      <c r="L169" s="42">
        <f t="shared" si="18"/>
        <v>4.423417046056243</v>
      </c>
      <c r="M169" s="42">
        <f t="shared" si="19"/>
        <v>7.6582953943757026E-2</v>
      </c>
      <c r="N169" s="42">
        <f t="shared" si="20"/>
        <v>5.8649488347516099E-3</v>
      </c>
      <c r="P169">
        <v>100</v>
      </c>
      <c r="Q169">
        <v>2.1529049618030793</v>
      </c>
      <c r="R169">
        <v>-0.65290496180307933</v>
      </c>
    </row>
    <row r="170" spans="1:18" x14ac:dyDescent="0.3">
      <c r="A170" s="16" t="s">
        <v>7</v>
      </c>
      <c r="B170" s="17">
        <f t="shared" si="14"/>
        <v>0</v>
      </c>
      <c r="C170" s="18" t="s">
        <v>22</v>
      </c>
      <c r="D170" s="19">
        <f t="shared" si="15"/>
        <v>1</v>
      </c>
      <c r="E170" s="20" t="s">
        <v>21</v>
      </c>
      <c r="F170" s="21">
        <f t="shared" si="16"/>
        <v>3</v>
      </c>
      <c r="G170" s="22" t="s">
        <v>10</v>
      </c>
      <c r="H170" s="23">
        <f t="shared" si="17"/>
        <v>1</v>
      </c>
      <c r="I170" s="24">
        <v>2</v>
      </c>
      <c r="J170" s="24">
        <v>10.59</v>
      </c>
      <c r="K170" s="25">
        <v>1.61</v>
      </c>
      <c r="L170" s="42">
        <f t="shared" si="18"/>
        <v>2.1153847365306078</v>
      </c>
      <c r="M170" s="42">
        <f t="shared" si="19"/>
        <v>-0.50538473653060767</v>
      </c>
      <c r="N170" s="42">
        <f t="shared" si="20"/>
        <v>0.25541373191811173</v>
      </c>
      <c r="P170">
        <v>101</v>
      </c>
      <c r="Q170">
        <v>2.0120606401252559</v>
      </c>
      <c r="R170">
        <v>0.48793935987474413</v>
      </c>
    </row>
    <row r="171" spans="1:18" x14ac:dyDescent="0.3">
      <c r="A171" s="16" t="s">
        <v>7</v>
      </c>
      <c r="B171" s="17">
        <f t="shared" si="14"/>
        <v>0</v>
      </c>
      <c r="C171" s="18" t="s">
        <v>22</v>
      </c>
      <c r="D171" s="19">
        <f t="shared" si="15"/>
        <v>1</v>
      </c>
      <c r="E171" s="20" t="s">
        <v>21</v>
      </c>
      <c r="F171" s="21">
        <f t="shared" si="16"/>
        <v>3</v>
      </c>
      <c r="G171" s="22" t="s">
        <v>10</v>
      </c>
      <c r="H171" s="23">
        <f t="shared" si="17"/>
        <v>1</v>
      </c>
      <c r="I171" s="24">
        <v>2</v>
      </c>
      <c r="J171" s="24">
        <v>10.63</v>
      </c>
      <c r="K171" s="25">
        <v>2</v>
      </c>
      <c r="L171" s="42">
        <f t="shared" si="18"/>
        <v>2.1191552772749054</v>
      </c>
      <c r="M171" s="42">
        <f t="shared" si="19"/>
        <v>-0.11915527727490538</v>
      </c>
      <c r="N171" s="42">
        <f t="shared" si="20"/>
        <v>1.4197980102459583E-2</v>
      </c>
      <c r="P171">
        <v>102</v>
      </c>
      <c r="Q171">
        <v>2.3919426201132508</v>
      </c>
      <c r="R171">
        <v>0.60805737988674924</v>
      </c>
    </row>
    <row r="172" spans="1:18" x14ac:dyDescent="0.3">
      <c r="A172" s="16" t="s">
        <v>11</v>
      </c>
      <c r="B172" s="17">
        <f t="shared" si="14"/>
        <v>1</v>
      </c>
      <c r="C172" s="18" t="s">
        <v>22</v>
      </c>
      <c r="D172" s="19">
        <f t="shared" si="15"/>
        <v>1</v>
      </c>
      <c r="E172" s="20" t="s">
        <v>21</v>
      </c>
      <c r="F172" s="21">
        <f t="shared" si="16"/>
        <v>3</v>
      </c>
      <c r="G172" s="22" t="s">
        <v>10</v>
      </c>
      <c r="H172" s="23">
        <f t="shared" si="17"/>
        <v>1</v>
      </c>
      <c r="I172" s="24">
        <v>3</v>
      </c>
      <c r="J172" s="24">
        <v>50.81</v>
      </c>
      <c r="K172" s="25">
        <v>10</v>
      </c>
      <c r="L172" s="42">
        <f t="shared" si="18"/>
        <v>5.9230362451385252</v>
      </c>
      <c r="M172" s="42">
        <f t="shared" si="19"/>
        <v>4.0769637548614748</v>
      </c>
      <c r="N172" s="42">
        <f t="shared" si="20"/>
        <v>16.621633458454177</v>
      </c>
      <c r="P172">
        <v>103</v>
      </c>
      <c r="Q172">
        <v>5.3460132537704421</v>
      </c>
      <c r="R172">
        <v>-2.8460132537704421</v>
      </c>
    </row>
    <row r="173" spans="1:18" x14ac:dyDescent="0.3">
      <c r="A173" s="16" t="s">
        <v>11</v>
      </c>
      <c r="B173" s="17">
        <f t="shared" si="14"/>
        <v>1</v>
      </c>
      <c r="C173" s="18" t="s">
        <v>22</v>
      </c>
      <c r="D173" s="19">
        <f t="shared" si="15"/>
        <v>1</v>
      </c>
      <c r="E173" s="20" t="s">
        <v>21</v>
      </c>
      <c r="F173" s="21">
        <f t="shared" si="16"/>
        <v>3</v>
      </c>
      <c r="G173" s="22" t="s">
        <v>10</v>
      </c>
      <c r="H173" s="23">
        <f t="shared" si="17"/>
        <v>1</v>
      </c>
      <c r="I173" s="24">
        <v>2</v>
      </c>
      <c r="J173" s="24">
        <v>15.81</v>
      </c>
      <c r="K173" s="25">
        <v>3.16</v>
      </c>
      <c r="L173" s="42">
        <f t="shared" si="18"/>
        <v>2.5708077888950882</v>
      </c>
      <c r="M173" s="42">
        <f t="shared" si="19"/>
        <v>0.58919221110491193</v>
      </c>
      <c r="N173" s="42">
        <f t="shared" si="20"/>
        <v>0.34714746162669513</v>
      </c>
      <c r="P173">
        <v>104</v>
      </c>
      <c r="Q173">
        <v>3.1085630960925847</v>
      </c>
      <c r="R173">
        <v>0.37143690390741524</v>
      </c>
    </row>
    <row r="174" spans="1:18" x14ac:dyDescent="0.3">
      <c r="A174" s="16" t="s">
        <v>11</v>
      </c>
      <c r="B174" s="17">
        <f t="shared" si="14"/>
        <v>1</v>
      </c>
      <c r="C174" s="18" t="s">
        <v>22</v>
      </c>
      <c r="D174" s="19">
        <f t="shared" si="15"/>
        <v>1</v>
      </c>
      <c r="E174" s="20" t="s">
        <v>9</v>
      </c>
      <c r="F174" s="21">
        <f t="shared" si="16"/>
        <v>4</v>
      </c>
      <c r="G174" s="22" t="s">
        <v>10</v>
      </c>
      <c r="H174" s="23">
        <f t="shared" si="17"/>
        <v>1</v>
      </c>
      <c r="I174" s="24">
        <v>2</v>
      </c>
      <c r="J174" s="24">
        <v>7.25</v>
      </c>
      <c r="K174" s="25">
        <v>5.15</v>
      </c>
      <c r="L174" s="42">
        <f t="shared" si="18"/>
        <v>1.9388764401623853</v>
      </c>
      <c r="M174" s="42">
        <f t="shared" si="19"/>
        <v>3.2111235598376151</v>
      </c>
      <c r="N174" s="42">
        <f t="shared" si="20"/>
        <v>10.311314516544197</v>
      </c>
      <c r="P174">
        <v>105</v>
      </c>
      <c r="Q174">
        <v>3.0400121489713534</v>
      </c>
      <c r="R174">
        <v>1.0399878510286467</v>
      </c>
    </row>
    <row r="175" spans="1:18" x14ac:dyDescent="0.3">
      <c r="A175" s="16" t="s">
        <v>11</v>
      </c>
      <c r="B175" s="17">
        <f t="shared" si="14"/>
        <v>1</v>
      </c>
      <c r="C175" s="18" t="s">
        <v>22</v>
      </c>
      <c r="D175" s="19">
        <f t="shared" si="15"/>
        <v>1</v>
      </c>
      <c r="E175" s="20" t="s">
        <v>9</v>
      </c>
      <c r="F175" s="21">
        <f t="shared" si="16"/>
        <v>4</v>
      </c>
      <c r="G175" s="22" t="s">
        <v>10</v>
      </c>
      <c r="H175" s="23">
        <f t="shared" si="17"/>
        <v>1</v>
      </c>
      <c r="I175" s="24">
        <v>2</v>
      </c>
      <c r="J175" s="24">
        <v>31.85</v>
      </c>
      <c r="K175" s="25">
        <v>3.18</v>
      </c>
      <c r="L175" s="42">
        <f t="shared" si="18"/>
        <v>4.25775899790548</v>
      </c>
      <c r="M175" s="42">
        <f t="shared" si="19"/>
        <v>-1.0777589979054798</v>
      </c>
      <c r="N175" s="42">
        <f t="shared" si="20"/>
        <v>1.1615644575662241</v>
      </c>
      <c r="P175">
        <v>106</v>
      </c>
      <c r="Q175">
        <v>2.4064301399576662</v>
      </c>
      <c r="R175">
        <v>-0.76643013995766629</v>
      </c>
    </row>
    <row r="176" spans="1:18" x14ac:dyDescent="0.3">
      <c r="A176" s="16" t="s">
        <v>11</v>
      </c>
      <c r="B176" s="17">
        <f t="shared" si="14"/>
        <v>1</v>
      </c>
      <c r="C176" s="18" t="s">
        <v>22</v>
      </c>
      <c r="D176" s="19">
        <f t="shared" si="15"/>
        <v>1</v>
      </c>
      <c r="E176" s="20" t="s">
        <v>9</v>
      </c>
      <c r="F176" s="21">
        <f t="shared" si="16"/>
        <v>4</v>
      </c>
      <c r="G176" s="22" t="s">
        <v>10</v>
      </c>
      <c r="H176" s="23">
        <f t="shared" si="17"/>
        <v>1</v>
      </c>
      <c r="I176" s="24">
        <v>2</v>
      </c>
      <c r="J176" s="24">
        <v>16.82</v>
      </c>
      <c r="K176" s="25">
        <v>4</v>
      </c>
      <c r="L176" s="42">
        <f t="shared" si="18"/>
        <v>2.8409783132356137</v>
      </c>
      <c r="M176" s="42">
        <f t="shared" si="19"/>
        <v>1.1590216867643863</v>
      </c>
      <c r="N176" s="42">
        <f t="shared" si="20"/>
        <v>1.3433312703901632</v>
      </c>
      <c r="P176">
        <v>107</v>
      </c>
      <c r="Q176">
        <v>2.8900019904138481</v>
      </c>
      <c r="R176">
        <v>1.1699980095861515</v>
      </c>
    </row>
    <row r="177" spans="1:18" x14ac:dyDescent="0.3">
      <c r="A177" s="16" t="s">
        <v>11</v>
      </c>
      <c r="B177" s="17">
        <f t="shared" si="14"/>
        <v>1</v>
      </c>
      <c r="C177" s="18" t="s">
        <v>22</v>
      </c>
      <c r="D177" s="19">
        <f t="shared" si="15"/>
        <v>1</v>
      </c>
      <c r="E177" s="20" t="s">
        <v>9</v>
      </c>
      <c r="F177" s="21">
        <f t="shared" si="16"/>
        <v>4</v>
      </c>
      <c r="G177" s="22" t="s">
        <v>10</v>
      </c>
      <c r="H177" s="23">
        <f t="shared" si="17"/>
        <v>1</v>
      </c>
      <c r="I177" s="24">
        <v>2</v>
      </c>
      <c r="J177" s="24">
        <v>32.9</v>
      </c>
      <c r="K177" s="25">
        <v>3.11</v>
      </c>
      <c r="L177" s="42">
        <f t="shared" si="18"/>
        <v>4.3567356924432952</v>
      </c>
      <c r="M177" s="42">
        <f t="shared" si="19"/>
        <v>-1.2467356924432953</v>
      </c>
      <c r="N177" s="42">
        <f t="shared" si="20"/>
        <v>1.5543498868120631</v>
      </c>
      <c r="P177">
        <v>108</v>
      </c>
      <c r="Q177">
        <v>3.3349257982409783</v>
      </c>
      <c r="R177">
        <v>0.95507420175902169</v>
      </c>
    </row>
    <row r="178" spans="1:18" x14ac:dyDescent="0.3">
      <c r="A178" s="16" t="s">
        <v>11</v>
      </c>
      <c r="B178" s="17">
        <f t="shared" si="14"/>
        <v>1</v>
      </c>
      <c r="C178" s="18" t="s">
        <v>22</v>
      </c>
      <c r="D178" s="19">
        <f t="shared" si="15"/>
        <v>1</v>
      </c>
      <c r="E178" s="20" t="s">
        <v>9</v>
      </c>
      <c r="F178" s="21">
        <f t="shared" si="16"/>
        <v>4</v>
      </c>
      <c r="G178" s="22" t="s">
        <v>10</v>
      </c>
      <c r="H178" s="23">
        <f t="shared" si="17"/>
        <v>1</v>
      </c>
      <c r="I178" s="24">
        <v>2</v>
      </c>
      <c r="J178" s="24">
        <v>17.89</v>
      </c>
      <c r="K178" s="25">
        <v>2</v>
      </c>
      <c r="L178" s="42">
        <f t="shared" si="18"/>
        <v>2.9418402781455777</v>
      </c>
      <c r="M178" s="42">
        <f t="shared" si="19"/>
        <v>-0.94184027814557769</v>
      </c>
      <c r="N178" s="42">
        <f t="shared" si="20"/>
        <v>0.88706310953733913</v>
      </c>
      <c r="P178">
        <v>109</v>
      </c>
      <c r="Q178">
        <v>2.750753404337035</v>
      </c>
      <c r="R178">
        <v>1.0092465956629648</v>
      </c>
    </row>
    <row r="179" spans="1:18" x14ac:dyDescent="0.3">
      <c r="A179" s="16" t="s">
        <v>11</v>
      </c>
      <c r="B179" s="17">
        <f t="shared" si="14"/>
        <v>1</v>
      </c>
      <c r="C179" s="18" t="s">
        <v>22</v>
      </c>
      <c r="D179" s="19">
        <f t="shared" si="15"/>
        <v>1</v>
      </c>
      <c r="E179" s="20" t="s">
        <v>9</v>
      </c>
      <c r="F179" s="21">
        <f t="shared" si="16"/>
        <v>4</v>
      </c>
      <c r="G179" s="22" t="s">
        <v>10</v>
      </c>
      <c r="H179" s="23">
        <f t="shared" si="17"/>
        <v>1</v>
      </c>
      <c r="I179" s="24">
        <v>2</v>
      </c>
      <c r="J179" s="24">
        <v>14.48</v>
      </c>
      <c r="K179" s="25">
        <v>2</v>
      </c>
      <c r="L179" s="42">
        <f t="shared" si="18"/>
        <v>2.6204016796941971</v>
      </c>
      <c r="M179" s="42">
        <f t="shared" si="19"/>
        <v>-0.62040167969419713</v>
      </c>
      <c r="N179" s="42">
        <f t="shared" si="20"/>
        <v>0.38489824416738116</v>
      </c>
      <c r="P179">
        <v>110</v>
      </c>
      <c r="Q179">
        <v>2.3440859601862227</v>
      </c>
      <c r="R179">
        <v>1.6559140398137773</v>
      </c>
    </row>
    <row r="180" spans="1:18" x14ac:dyDescent="0.3">
      <c r="A180" s="16" t="s">
        <v>7</v>
      </c>
      <c r="B180" s="17">
        <f t="shared" si="14"/>
        <v>0</v>
      </c>
      <c r="C180" s="18" t="s">
        <v>22</v>
      </c>
      <c r="D180" s="19">
        <f t="shared" si="15"/>
        <v>1</v>
      </c>
      <c r="E180" s="20" t="s">
        <v>9</v>
      </c>
      <c r="F180" s="21">
        <f t="shared" si="16"/>
        <v>4</v>
      </c>
      <c r="G180" s="22" t="s">
        <v>10</v>
      </c>
      <c r="H180" s="23">
        <f t="shared" si="17"/>
        <v>1</v>
      </c>
      <c r="I180" s="24">
        <v>2</v>
      </c>
      <c r="J180" s="24">
        <v>9.6</v>
      </c>
      <c r="K180" s="25">
        <v>4</v>
      </c>
      <c r="L180" s="42">
        <f t="shared" si="18"/>
        <v>2.1970282236562473</v>
      </c>
      <c r="M180" s="42">
        <f t="shared" si="19"/>
        <v>1.8029717763437527</v>
      </c>
      <c r="N180" s="42">
        <f t="shared" si="20"/>
        <v>3.250707226292147</v>
      </c>
      <c r="P180">
        <v>111</v>
      </c>
      <c r="Q180">
        <v>2.3510760854414774</v>
      </c>
      <c r="R180">
        <v>0.64892391455852261</v>
      </c>
    </row>
    <row r="181" spans="1:18" x14ac:dyDescent="0.3">
      <c r="A181" s="16" t="s">
        <v>11</v>
      </c>
      <c r="B181" s="17">
        <f t="shared" si="14"/>
        <v>1</v>
      </c>
      <c r="C181" s="18" t="s">
        <v>22</v>
      </c>
      <c r="D181" s="19">
        <f t="shared" si="15"/>
        <v>1</v>
      </c>
      <c r="E181" s="20" t="s">
        <v>9</v>
      </c>
      <c r="F181" s="21">
        <f t="shared" si="16"/>
        <v>4</v>
      </c>
      <c r="G181" s="22" t="s">
        <v>10</v>
      </c>
      <c r="H181" s="23">
        <f t="shared" si="17"/>
        <v>1</v>
      </c>
      <c r="I181" s="24">
        <v>2</v>
      </c>
      <c r="J181" s="24">
        <v>34.630000000000003</v>
      </c>
      <c r="K181" s="25">
        <v>3.55</v>
      </c>
      <c r="L181" s="42">
        <f t="shared" si="18"/>
        <v>4.5198115796341716</v>
      </c>
      <c r="M181" s="42">
        <f t="shared" si="19"/>
        <v>-0.96981157963417175</v>
      </c>
      <c r="N181" s="42">
        <f t="shared" si="20"/>
        <v>0.94053449999252747</v>
      </c>
      <c r="P181">
        <v>112</v>
      </c>
      <c r="Q181">
        <v>1.576465479060601</v>
      </c>
      <c r="R181">
        <v>-0.57646547906060097</v>
      </c>
    </row>
    <row r="182" spans="1:18" x14ac:dyDescent="0.3">
      <c r="A182" s="16" t="s">
        <v>11</v>
      </c>
      <c r="B182" s="17">
        <f t="shared" si="14"/>
        <v>1</v>
      </c>
      <c r="C182" s="18" t="s">
        <v>22</v>
      </c>
      <c r="D182" s="19">
        <f t="shared" si="15"/>
        <v>1</v>
      </c>
      <c r="E182" s="20" t="s">
        <v>9</v>
      </c>
      <c r="F182" s="21">
        <f t="shared" si="16"/>
        <v>4</v>
      </c>
      <c r="G182" s="22" t="s">
        <v>10</v>
      </c>
      <c r="H182" s="23">
        <f t="shared" si="17"/>
        <v>1</v>
      </c>
      <c r="I182" s="24">
        <v>4</v>
      </c>
      <c r="J182" s="24">
        <v>34.65</v>
      </c>
      <c r="K182" s="25">
        <v>3.68</v>
      </c>
      <c r="L182" s="42">
        <f t="shared" si="18"/>
        <v>4.627707459972191</v>
      </c>
      <c r="M182" s="42">
        <f t="shared" si="19"/>
        <v>-0.94770745997219086</v>
      </c>
      <c r="N182" s="42">
        <f t="shared" si="20"/>
        <v>0.89814942968694178</v>
      </c>
      <c r="P182">
        <v>113</v>
      </c>
      <c r="Q182">
        <v>4.8479686538525719</v>
      </c>
      <c r="R182">
        <v>-0.84796865385257192</v>
      </c>
    </row>
    <row r="183" spans="1:18" x14ac:dyDescent="0.3">
      <c r="A183" s="16" t="s">
        <v>11</v>
      </c>
      <c r="B183" s="17">
        <f t="shared" si="14"/>
        <v>1</v>
      </c>
      <c r="C183" s="18" t="s">
        <v>22</v>
      </c>
      <c r="D183" s="19">
        <f t="shared" si="15"/>
        <v>1</v>
      </c>
      <c r="E183" s="20" t="s">
        <v>9</v>
      </c>
      <c r="F183" s="21">
        <f t="shared" si="16"/>
        <v>4</v>
      </c>
      <c r="G183" s="22" t="s">
        <v>10</v>
      </c>
      <c r="H183" s="23">
        <f t="shared" si="17"/>
        <v>1</v>
      </c>
      <c r="I183" s="24">
        <v>2</v>
      </c>
      <c r="J183" s="24">
        <v>23.33</v>
      </c>
      <c r="K183" s="25">
        <v>5.65</v>
      </c>
      <c r="L183" s="42">
        <f t="shared" si="18"/>
        <v>3.4546338193700663</v>
      </c>
      <c r="M183" s="42">
        <f t="shared" si="19"/>
        <v>2.195366180629934</v>
      </c>
      <c r="N183" s="42">
        <f t="shared" si="20"/>
        <v>4.8196326670536642</v>
      </c>
      <c r="P183">
        <v>114</v>
      </c>
      <c r="Q183">
        <v>3.34200340056847</v>
      </c>
      <c r="R183">
        <v>-0.79200340056847018</v>
      </c>
    </row>
    <row r="184" spans="1:18" x14ac:dyDescent="0.3">
      <c r="A184" s="16" t="s">
        <v>11</v>
      </c>
      <c r="B184" s="17">
        <f t="shared" si="14"/>
        <v>1</v>
      </c>
      <c r="C184" s="18" t="s">
        <v>22</v>
      </c>
      <c r="D184" s="19">
        <f t="shared" si="15"/>
        <v>1</v>
      </c>
      <c r="E184" s="20" t="s">
        <v>9</v>
      </c>
      <c r="F184" s="21">
        <f t="shared" si="16"/>
        <v>4</v>
      </c>
      <c r="G184" s="22" t="s">
        <v>10</v>
      </c>
      <c r="H184" s="23">
        <f t="shared" si="17"/>
        <v>1</v>
      </c>
      <c r="I184" s="24">
        <v>3</v>
      </c>
      <c r="J184" s="24">
        <v>45.35</v>
      </c>
      <c r="K184" s="25">
        <v>3.5</v>
      </c>
      <c r="L184" s="42">
        <f t="shared" si="18"/>
        <v>5.5833218040888948</v>
      </c>
      <c r="M184" s="42">
        <f t="shared" si="19"/>
        <v>-2.0833218040888948</v>
      </c>
      <c r="N184" s="42">
        <f t="shared" si="20"/>
        <v>4.3402297393922069</v>
      </c>
      <c r="P184">
        <v>115</v>
      </c>
      <c r="Q184">
        <v>3.7195040786309486</v>
      </c>
      <c r="R184">
        <v>0.28049592136905144</v>
      </c>
    </row>
    <row r="185" spans="1:18" x14ac:dyDescent="0.3">
      <c r="A185" s="16" t="s">
        <v>11</v>
      </c>
      <c r="B185" s="17">
        <f t="shared" si="14"/>
        <v>1</v>
      </c>
      <c r="C185" s="18" t="s">
        <v>22</v>
      </c>
      <c r="D185" s="19">
        <f t="shared" si="15"/>
        <v>1</v>
      </c>
      <c r="E185" s="20" t="s">
        <v>9</v>
      </c>
      <c r="F185" s="21">
        <f t="shared" si="16"/>
        <v>4</v>
      </c>
      <c r="G185" s="22" t="s">
        <v>10</v>
      </c>
      <c r="H185" s="23">
        <f t="shared" si="17"/>
        <v>1</v>
      </c>
      <c r="I185" s="24">
        <v>4</v>
      </c>
      <c r="J185" s="24">
        <v>23.17</v>
      </c>
      <c r="K185" s="25">
        <v>6.5</v>
      </c>
      <c r="L185" s="42">
        <f t="shared" si="18"/>
        <v>3.5455622663587474</v>
      </c>
      <c r="M185" s="42">
        <f t="shared" si="19"/>
        <v>2.9544377336412526</v>
      </c>
      <c r="N185" s="42">
        <f t="shared" si="20"/>
        <v>8.7287023219632616</v>
      </c>
      <c r="P185">
        <v>116</v>
      </c>
      <c r="Q185">
        <v>2.7527261517814203</v>
      </c>
      <c r="R185">
        <v>0.74727384821857967</v>
      </c>
    </row>
    <row r="186" spans="1:18" x14ac:dyDescent="0.3">
      <c r="A186" s="16" t="s">
        <v>11</v>
      </c>
      <c r="B186" s="17">
        <f t="shared" si="14"/>
        <v>1</v>
      </c>
      <c r="C186" s="18" t="s">
        <v>22</v>
      </c>
      <c r="D186" s="19">
        <f t="shared" si="15"/>
        <v>1</v>
      </c>
      <c r="E186" s="20" t="s">
        <v>9</v>
      </c>
      <c r="F186" s="21">
        <f t="shared" si="16"/>
        <v>4</v>
      </c>
      <c r="G186" s="22" t="s">
        <v>10</v>
      </c>
      <c r="H186" s="23">
        <f t="shared" si="17"/>
        <v>1</v>
      </c>
      <c r="I186" s="24">
        <v>2</v>
      </c>
      <c r="J186" s="24">
        <v>40.549999999999997</v>
      </c>
      <c r="K186" s="25">
        <v>3</v>
      </c>
      <c r="L186" s="42">
        <f t="shared" si="18"/>
        <v>5.0778516097902324</v>
      </c>
      <c r="M186" s="42">
        <f t="shared" si="19"/>
        <v>-2.0778516097902324</v>
      </c>
      <c r="N186" s="42">
        <f t="shared" si="20"/>
        <v>4.3174673123078602</v>
      </c>
      <c r="P186">
        <v>117</v>
      </c>
      <c r="Q186">
        <v>4.2556279829349943</v>
      </c>
      <c r="R186">
        <v>0.81437201706500595</v>
      </c>
    </row>
    <row r="187" spans="1:18" x14ac:dyDescent="0.3">
      <c r="A187" s="16" t="s">
        <v>11</v>
      </c>
      <c r="B187" s="17">
        <f t="shared" si="14"/>
        <v>1</v>
      </c>
      <c r="C187" s="18" t="s">
        <v>8</v>
      </c>
      <c r="D187" s="19">
        <f t="shared" si="15"/>
        <v>0</v>
      </c>
      <c r="E187" s="20" t="s">
        <v>9</v>
      </c>
      <c r="F187" s="21">
        <f t="shared" si="16"/>
        <v>4</v>
      </c>
      <c r="G187" s="22" t="s">
        <v>10</v>
      </c>
      <c r="H187" s="23">
        <f t="shared" si="17"/>
        <v>1</v>
      </c>
      <c r="I187" s="24">
        <v>5</v>
      </c>
      <c r="J187" s="24">
        <v>20.69</v>
      </c>
      <c r="K187" s="25">
        <v>5</v>
      </c>
      <c r="L187" s="42">
        <f t="shared" si="18"/>
        <v>3.4376383759851583</v>
      </c>
      <c r="M187" s="42">
        <f t="shared" si="19"/>
        <v>1.5623616240148417</v>
      </c>
      <c r="N187" s="42">
        <f t="shared" si="20"/>
        <v>2.4409738441942936</v>
      </c>
      <c r="P187">
        <v>118</v>
      </c>
      <c r="Q187">
        <v>2.0819214646280333</v>
      </c>
      <c r="R187">
        <v>-0.58192146462803329</v>
      </c>
    </row>
    <row r="188" spans="1:18" x14ac:dyDescent="0.3">
      <c r="A188" s="16" t="s">
        <v>7</v>
      </c>
      <c r="B188" s="17">
        <f t="shared" si="14"/>
        <v>0</v>
      </c>
      <c r="C188" s="18" t="s">
        <v>22</v>
      </c>
      <c r="D188" s="19">
        <f t="shared" si="15"/>
        <v>1</v>
      </c>
      <c r="E188" s="20" t="s">
        <v>9</v>
      </c>
      <c r="F188" s="21">
        <f t="shared" si="16"/>
        <v>4</v>
      </c>
      <c r="G188" s="22" t="s">
        <v>10</v>
      </c>
      <c r="H188" s="23">
        <f t="shared" si="17"/>
        <v>1</v>
      </c>
      <c r="I188" s="24">
        <v>3</v>
      </c>
      <c r="J188" s="24">
        <v>20.9</v>
      </c>
      <c r="K188" s="25">
        <v>3.5</v>
      </c>
      <c r="L188" s="42">
        <f t="shared" si="18"/>
        <v>3.3152112889032876</v>
      </c>
      <c r="M188" s="42">
        <f t="shared" si="19"/>
        <v>0.18478871109671235</v>
      </c>
      <c r="N188" s="42">
        <f t="shared" si="20"/>
        <v>3.4146867748784226E-2</v>
      </c>
      <c r="P188">
        <v>119</v>
      </c>
      <c r="Q188">
        <v>2.2497105277492819</v>
      </c>
      <c r="R188">
        <v>-0.44971052774928189</v>
      </c>
    </row>
    <row r="189" spans="1:18" x14ac:dyDescent="0.3">
      <c r="A189" s="16" t="s">
        <v>11</v>
      </c>
      <c r="B189" s="17">
        <f t="shared" si="14"/>
        <v>1</v>
      </c>
      <c r="C189" s="18" t="s">
        <v>22</v>
      </c>
      <c r="D189" s="19">
        <f t="shared" si="15"/>
        <v>1</v>
      </c>
      <c r="E189" s="20" t="s">
        <v>9</v>
      </c>
      <c r="F189" s="21">
        <f t="shared" si="16"/>
        <v>4</v>
      </c>
      <c r="G189" s="22" t="s">
        <v>10</v>
      </c>
      <c r="H189" s="23">
        <f t="shared" si="17"/>
        <v>1</v>
      </c>
      <c r="I189" s="24">
        <v>5</v>
      </c>
      <c r="J189" s="24">
        <v>30.46</v>
      </c>
      <c r="K189" s="25">
        <v>2</v>
      </c>
      <c r="L189" s="42">
        <f t="shared" si="18"/>
        <v>4.2857486219899421</v>
      </c>
      <c r="M189" s="42">
        <f t="shared" si="19"/>
        <v>-2.2857486219899421</v>
      </c>
      <c r="N189" s="42">
        <f t="shared" si="20"/>
        <v>5.2246467629289191</v>
      </c>
      <c r="P189">
        <v>120</v>
      </c>
      <c r="Q189">
        <v>3.6978092606200077</v>
      </c>
      <c r="R189">
        <v>-0.77780926062000777</v>
      </c>
    </row>
    <row r="190" spans="1:18" x14ac:dyDescent="0.3">
      <c r="A190" s="16" t="s">
        <v>7</v>
      </c>
      <c r="B190" s="17">
        <f t="shared" si="14"/>
        <v>0</v>
      </c>
      <c r="C190" s="18" t="s">
        <v>22</v>
      </c>
      <c r="D190" s="19">
        <f t="shared" si="15"/>
        <v>1</v>
      </c>
      <c r="E190" s="20" t="s">
        <v>9</v>
      </c>
      <c r="F190" s="21">
        <f t="shared" si="16"/>
        <v>4</v>
      </c>
      <c r="G190" s="22" t="s">
        <v>10</v>
      </c>
      <c r="H190" s="23">
        <f t="shared" si="17"/>
        <v>1</v>
      </c>
      <c r="I190" s="24">
        <v>3</v>
      </c>
      <c r="J190" s="24">
        <v>18.149999999999999</v>
      </c>
      <c r="K190" s="25">
        <v>3.5</v>
      </c>
      <c r="L190" s="42">
        <f t="shared" si="18"/>
        <v>3.0559866127328195</v>
      </c>
      <c r="M190" s="42">
        <f t="shared" si="19"/>
        <v>0.44401338726718054</v>
      </c>
      <c r="N190" s="42">
        <f t="shared" si="20"/>
        <v>0.19714788807247524</v>
      </c>
      <c r="P190">
        <v>121</v>
      </c>
      <c r="Q190">
        <v>2.143323009213403</v>
      </c>
      <c r="R190">
        <v>0.16667699078659703</v>
      </c>
    </row>
    <row r="191" spans="1:18" x14ac:dyDescent="0.3">
      <c r="A191" s="16" t="s">
        <v>11</v>
      </c>
      <c r="B191" s="17">
        <f t="shared" si="14"/>
        <v>1</v>
      </c>
      <c r="C191" s="18" t="s">
        <v>22</v>
      </c>
      <c r="D191" s="19">
        <f t="shared" si="15"/>
        <v>1</v>
      </c>
      <c r="E191" s="20" t="s">
        <v>9</v>
      </c>
      <c r="F191" s="21">
        <f t="shared" si="16"/>
        <v>4</v>
      </c>
      <c r="G191" s="22" t="s">
        <v>10</v>
      </c>
      <c r="H191" s="23">
        <f t="shared" si="17"/>
        <v>1</v>
      </c>
      <c r="I191" s="24">
        <v>3</v>
      </c>
      <c r="J191" s="24">
        <v>23.1</v>
      </c>
      <c r="K191" s="25">
        <v>4</v>
      </c>
      <c r="L191" s="42">
        <f t="shared" si="18"/>
        <v>3.4859585150732908</v>
      </c>
      <c r="M191" s="42">
        <f t="shared" si="19"/>
        <v>0.5140414849267092</v>
      </c>
      <c r="N191" s="42">
        <f t="shared" si="20"/>
        <v>0.26423864822565618</v>
      </c>
      <c r="P191">
        <v>122</v>
      </c>
      <c r="Q191">
        <v>2.3430314111706503</v>
      </c>
      <c r="R191">
        <v>-0.66303141117065034</v>
      </c>
    </row>
    <row r="192" spans="1:18" x14ac:dyDescent="0.3">
      <c r="A192" s="16" t="s">
        <v>11</v>
      </c>
      <c r="B192" s="17">
        <f t="shared" si="14"/>
        <v>1</v>
      </c>
      <c r="C192" s="18" t="s">
        <v>22</v>
      </c>
      <c r="D192" s="19">
        <f t="shared" si="15"/>
        <v>1</v>
      </c>
      <c r="E192" s="20" t="s">
        <v>9</v>
      </c>
      <c r="F192" s="21">
        <f t="shared" si="16"/>
        <v>4</v>
      </c>
      <c r="G192" s="22" t="s">
        <v>10</v>
      </c>
      <c r="H192" s="23">
        <f t="shared" si="17"/>
        <v>1</v>
      </c>
      <c r="I192" s="24">
        <v>2</v>
      </c>
      <c r="J192" s="24">
        <v>15.69</v>
      </c>
      <c r="K192" s="25">
        <v>1.5</v>
      </c>
      <c r="L192" s="42">
        <f t="shared" si="18"/>
        <v>2.7344605372092028</v>
      </c>
      <c r="M192" s="42">
        <f t="shared" si="19"/>
        <v>-1.2344605372092028</v>
      </c>
      <c r="N192" s="42">
        <f t="shared" si="20"/>
        <v>1.5238928179268336</v>
      </c>
      <c r="P192">
        <v>123</v>
      </c>
      <c r="Q192">
        <v>2.3855802520345311</v>
      </c>
      <c r="R192">
        <v>0.11441974796546894</v>
      </c>
    </row>
    <row r="193" spans="1:18" x14ac:dyDescent="0.3">
      <c r="A193" s="16" t="s">
        <v>7</v>
      </c>
      <c r="B193" s="17">
        <f t="shared" si="14"/>
        <v>0</v>
      </c>
      <c r="C193" s="18" t="s">
        <v>22</v>
      </c>
      <c r="D193" s="19">
        <f t="shared" si="15"/>
        <v>1</v>
      </c>
      <c r="E193" s="20" t="s">
        <v>23</v>
      </c>
      <c r="F193" s="21">
        <f t="shared" si="16"/>
        <v>1</v>
      </c>
      <c r="G193" s="22" t="s">
        <v>24</v>
      </c>
      <c r="H193" s="23">
        <f t="shared" si="17"/>
        <v>0</v>
      </c>
      <c r="I193" s="24">
        <v>2</v>
      </c>
      <c r="J193" s="24">
        <v>19.809999999999999</v>
      </c>
      <c r="K193" s="25">
        <v>4.1900000000000004</v>
      </c>
      <c r="L193" s="42">
        <f t="shared" si="18"/>
        <v>2.7505718987182046</v>
      </c>
      <c r="M193" s="42">
        <f t="shared" si="19"/>
        <v>1.4394281012817958</v>
      </c>
      <c r="N193" s="42">
        <f t="shared" si="20"/>
        <v>2.0719532587597156</v>
      </c>
      <c r="P193">
        <v>124</v>
      </c>
      <c r="Q193">
        <v>2.5448855984811098</v>
      </c>
      <c r="R193">
        <v>-0.54488559848110985</v>
      </c>
    </row>
    <row r="194" spans="1:18" x14ac:dyDescent="0.3">
      <c r="A194" s="16" t="s">
        <v>11</v>
      </c>
      <c r="B194" s="17">
        <f t="shared" ref="B194:B244" si="21">IF(A194="Male",1,0)</f>
        <v>1</v>
      </c>
      <c r="C194" s="18" t="s">
        <v>22</v>
      </c>
      <c r="D194" s="19">
        <f t="shared" ref="D194:D244" si="22">IF(C194="Yes",1,0)</f>
        <v>1</v>
      </c>
      <c r="E194" s="20" t="s">
        <v>23</v>
      </c>
      <c r="F194" s="21">
        <f t="shared" ref="F194:F244" si="23">IF(E194="Thur",1,IF(E194="Fri",2,IF(E194="Sat",3,4)))</f>
        <v>1</v>
      </c>
      <c r="G194" s="22" t="s">
        <v>24</v>
      </c>
      <c r="H194" s="23">
        <f t="shared" ref="H194:H244" si="24">IF(G194="Dinner",1,0)</f>
        <v>0</v>
      </c>
      <c r="I194" s="24">
        <v>2</v>
      </c>
      <c r="J194" s="24">
        <v>28.44</v>
      </c>
      <c r="K194" s="25">
        <v>2.56</v>
      </c>
      <c r="L194" s="42">
        <f t="shared" ref="L194:L244" si="25">$Q$57 + $Q$58*B194 + $Q$59*D194 + $Q$62*F194 + $Q$61*H194 + $Q$60*I194 + $Q$63*J194</f>
        <v>3.5274335495340656</v>
      </c>
      <c r="M194" s="42">
        <f t="shared" si="19"/>
        <v>-0.96743354953406557</v>
      </c>
      <c r="N194" s="42">
        <f t="shared" si="20"/>
        <v>0.93592767276408129</v>
      </c>
      <c r="P194">
        <v>125</v>
      </c>
      <c r="Q194">
        <v>2.2544237036796542</v>
      </c>
      <c r="R194">
        <v>0.26557629632034585</v>
      </c>
    </row>
    <row r="195" spans="1:18" x14ac:dyDescent="0.3">
      <c r="A195" s="16" t="s">
        <v>11</v>
      </c>
      <c r="B195" s="17">
        <f t="shared" si="21"/>
        <v>1</v>
      </c>
      <c r="C195" s="18" t="s">
        <v>22</v>
      </c>
      <c r="D195" s="19">
        <f t="shared" si="22"/>
        <v>1</v>
      </c>
      <c r="E195" s="20" t="s">
        <v>23</v>
      </c>
      <c r="F195" s="21">
        <f t="shared" si="23"/>
        <v>1</v>
      </c>
      <c r="G195" s="22" t="s">
        <v>24</v>
      </c>
      <c r="H195" s="23">
        <f t="shared" si="24"/>
        <v>0</v>
      </c>
      <c r="I195" s="24">
        <v>2</v>
      </c>
      <c r="J195" s="24">
        <v>15.48</v>
      </c>
      <c r="K195" s="25">
        <v>2.02</v>
      </c>
      <c r="L195" s="42">
        <f t="shared" si="25"/>
        <v>2.3057783483816059</v>
      </c>
      <c r="M195" s="42">
        <f t="shared" ref="M195:M244" si="26">K195-L195</f>
        <v>-0.28577834838160587</v>
      </c>
      <c r="N195" s="42">
        <f t="shared" ref="N195:N244" si="27" xml:space="preserve"> M195^2</f>
        <v>8.1669264403718494E-2</v>
      </c>
      <c r="P195">
        <v>126</v>
      </c>
      <c r="Q195">
        <v>4.5869253281485971</v>
      </c>
      <c r="R195">
        <v>-0.38692532814859693</v>
      </c>
    </row>
    <row r="196" spans="1:18" x14ac:dyDescent="0.3">
      <c r="A196" s="16" t="s">
        <v>11</v>
      </c>
      <c r="B196" s="17">
        <f t="shared" si="21"/>
        <v>1</v>
      </c>
      <c r="C196" s="18" t="s">
        <v>22</v>
      </c>
      <c r="D196" s="19">
        <f t="shared" si="22"/>
        <v>1</v>
      </c>
      <c r="E196" s="20" t="s">
        <v>23</v>
      </c>
      <c r="F196" s="21">
        <f t="shared" si="23"/>
        <v>1</v>
      </c>
      <c r="G196" s="22" t="s">
        <v>24</v>
      </c>
      <c r="H196" s="23">
        <f t="shared" si="24"/>
        <v>0</v>
      </c>
      <c r="I196" s="24">
        <v>2</v>
      </c>
      <c r="J196" s="24">
        <v>16.579999999999998</v>
      </c>
      <c r="K196" s="25">
        <v>4</v>
      </c>
      <c r="L196" s="42">
        <f t="shared" si="25"/>
        <v>2.4094682188497929</v>
      </c>
      <c r="M196" s="42">
        <f t="shared" si="26"/>
        <v>1.5905317811502071</v>
      </c>
      <c r="N196" s="42">
        <f t="shared" si="27"/>
        <v>2.5297913468488504</v>
      </c>
      <c r="P196">
        <v>127</v>
      </c>
      <c r="Q196">
        <v>1.844507655227809</v>
      </c>
      <c r="R196">
        <v>-0.36450765522780904</v>
      </c>
    </row>
    <row r="197" spans="1:18" x14ac:dyDescent="0.3">
      <c r="A197" s="16" t="s">
        <v>11</v>
      </c>
      <c r="B197" s="17">
        <f t="shared" si="21"/>
        <v>1</v>
      </c>
      <c r="C197" s="18" t="s">
        <v>8</v>
      </c>
      <c r="D197" s="19">
        <f t="shared" si="22"/>
        <v>0</v>
      </c>
      <c r="E197" s="20" t="s">
        <v>23</v>
      </c>
      <c r="F197" s="21">
        <f t="shared" si="23"/>
        <v>1</v>
      </c>
      <c r="G197" s="22" t="s">
        <v>24</v>
      </c>
      <c r="H197" s="23">
        <f t="shared" si="24"/>
        <v>0</v>
      </c>
      <c r="I197" s="24">
        <v>2</v>
      </c>
      <c r="J197" s="24">
        <v>7.56</v>
      </c>
      <c r="K197" s="25">
        <v>1.44</v>
      </c>
      <c r="L197" s="42">
        <f t="shared" si="25"/>
        <v>1.6320556118005913</v>
      </c>
      <c r="M197" s="42">
        <f t="shared" si="26"/>
        <v>-0.19205561180059139</v>
      </c>
      <c r="N197" s="42">
        <f t="shared" si="27"/>
        <v>3.6885358024099459E-2</v>
      </c>
      <c r="P197">
        <v>128</v>
      </c>
      <c r="Q197">
        <v>2.4467212816388377</v>
      </c>
      <c r="R197">
        <v>-0.44672128163883773</v>
      </c>
    </row>
    <row r="198" spans="1:18" x14ac:dyDescent="0.3">
      <c r="A198" s="16" t="s">
        <v>11</v>
      </c>
      <c r="B198" s="17">
        <f t="shared" si="21"/>
        <v>1</v>
      </c>
      <c r="C198" s="18" t="s">
        <v>22</v>
      </c>
      <c r="D198" s="19">
        <f t="shared" si="22"/>
        <v>1</v>
      </c>
      <c r="E198" s="20" t="s">
        <v>23</v>
      </c>
      <c r="F198" s="21">
        <f t="shared" si="23"/>
        <v>1</v>
      </c>
      <c r="G198" s="22" t="s">
        <v>24</v>
      </c>
      <c r="H198" s="23">
        <f t="shared" si="24"/>
        <v>0</v>
      </c>
      <c r="I198" s="24">
        <v>2</v>
      </c>
      <c r="J198" s="24">
        <v>10.34</v>
      </c>
      <c r="K198" s="25">
        <v>2</v>
      </c>
      <c r="L198" s="42">
        <f t="shared" si="25"/>
        <v>1.8212638627393494</v>
      </c>
      <c r="M198" s="42">
        <f t="shared" si="26"/>
        <v>0.17873613726065063</v>
      </c>
      <c r="N198" s="42">
        <f t="shared" si="27"/>
        <v>3.194660676285814E-2</v>
      </c>
      <c r="P198">
        <v>129</v>
      </c>
      <c r="Q198">
        <v>2.1507338332114667</v>
      </c>
      <c r="R198">
        <v>-0.15073383321146672</v>
      </c>
    </row>
    <row r="199" spans="1:18" x14ac:dyDescent="0.3">
      <c r="A199" s="16" t="s">
        <v>7</v>
      </c>
      <c r="B199" s="17">
        <f t="shared" si="21"/>
        <v>0</v>
      </c>
      <c r="C199" s="18" t="s">
        <v>22</v>
      </c>
      <c r="D199" s="19">
        <f t="shared" si="22"/>
        <v>1</v>
      </c>
      <c r="E199" s="20" t="s">
        <v>23</v>
      </c>
      <c r="F199" s="21">
        <f t="shared" si="23"/>
        <v>1</v>
      </c>
      <c r="G199" s="22" t="s">
        <v>24</v>
      </c>
      <c r="H199" s="23">
        <f t="shared" si="24"/>
        <v>0</v>
      </c>
      <c r="I199" s="24">
        <v>4</v>
      </c>
      <c r="J199" s="24">
        <v>43.11</v>
      </c>
      <c r="K199" s="25">
        <v>5</v>
      </c>
      <c r="L199" s="42">
        <f t="shared" si="25"/>
        <v>5.0529224922374958</v>
      </c>
      <c r="M199" s="42">
        <f t="shared" si="26"/>
        <v>-5.2922492237495788E-2</v>
      </c>
      <c r="N199" s="42">
        <f t="shared" si="27"/>
        <v>2.8007901846278018E-3</v>
      </c>
      <c r="P199">
        <v>130</v>
      </c>
      <c r="Q199">
        <v>3.3674403418612506</v>
      </c>
      <c r="R199">
        <v>-1.1874403418612505</v>
      </c>
    </row>
    <row r="200" spans="1:18" x14ac:dyDescent="0.3">
      <c r="A200" s="16" t="s">
        <v>7</v>
      </c>
      <c r="B200" s="17">
        <f t="shared" si="21"/>
        <v>0</v>
      </c>
      <c r="C200" s="18" t="s">
        <v>22</v>
      </c>
      <c r="D200" s="19">
        <f t="shared" si="22"/>
        <v>1</v>
      </c>
      <c r="E200" s="20" t="s">
        <v>23</v>
      </c>
      <c r="F200" s="21">
        <f t="shared" si="23"/>
        <v>1</v>
      </c>
      <c r="G200" s="22" t="s">
        <v>24</v>
      </c>
      <c r="H200" s="23">
        <f t="shared" si="24"/>
        <v>0</v>
      </c>
      <c r="I200" s="24">
        <v>2</v>
      </c>
      <c r="J200" s="24">
        <v>13</v>
      </c>
      <c r="K200" s="25">
        <v>2</v>
      </c>
      <c r="L200" s="42">
        <f t="shared" si="25"/>
        <v>2.1086373370015186</v>
      </c>
      <c r="M200" s="42">
        <f t="shared" si="26"/>
        <v>-0.10863733700151856</v>
      </c>
      <c r="N200" s="42">
        <f t="shared" si="27"/>
        <v>1.1802070990781514E-2</v>
      </c>
      <c r="P200">
        <v>131</v>
      </c>
      <c r="Q200">
        <v>2.8399304117224058</v>
      </c>
      <c r="R200">
        <v>-1.3399304117224058</v>
      </c>
    </row>
    <row r="201" spans="1:18" x14ac:dyDescent="0.3">
      <c r="A201" s="16" t="s">
        <v>11</v>
      </c>
      <c r="B201" s="17">
        <f t="shared" si="21"/>
        <v>1</v>
      </c>
      <c r="C201" s="18" t="s">
        <v>22</v>
      </c>
      <c r="D201" s="19">
        <f t="shared" si="22"/>
        <v>1</v>
      </c>
      <c r="E201" s="20" t="s">
        <v>23</v>
      </c>
      <c r="F201" s="21">
        <f t="shared" si="23"/>
        <v>1</v>
      </c>
      <c r="G201" s="22" t="s">
        <v>24</v>
      </c>
      <c r="H201" s="23">
        <f t="shared" si="24"/>
        <v>0</v>
      </c>
      <c r="I201" s="24">
        <v>2</v>
      </c>
      <c r="J201" s="24">
        <v>13.51</v>
      </c>
      <c r="K201" s="25">
        <v>2</v>
      </c>
      <c r="L201" s="42">
        <f t="shared" si="25"/>
        <v>2.1200792167249434</v>
      </c>
      <c r="M201" s="42">
        <f t="shared" si="26"/>
        <v>-0.12007921672494337</v>
      </c>
      <c r="N201" s="42">
        <f t="shared" si="27"/>
        <v>1.441901828927592E-2</v>
      </c>
      <c r="P201">
        <v>132</v>
      </c>
      <c r="Q201">
        <v>2.988736513631634</v>
      </c>
      <c r="R201">
        <v>-0.15873651363163388</v>
      </c>
    </row>
    <row r="202" spans="1:18" x14ac:dyDescent="0.3">
      <c r="A202" s="16" t="s">
        <v>11</v>
      </c>
      <c r="B202" s="17">
        <f t="shared" si="21"/>
        <v>1</v>
      </c>
      <c r="C202" s="18" t="s">
        <v>22</v>
      </c>
      <c r="D202" s="19">
        <f t="shared" si="22"/>
        <v>1</v>
      </c>
      <c r="E202" s="20" t="s">
        <v>23</v>
      </c>
      <c r="F202" s="21">
        <f t="shared" si="23"/>
        <v>1</v>
      </c>
      <c r="G202" s="22" t="s">
        <v>24</v>
      </c>
      <c r="H202" s="23">
        <f t="shared" si="24"/>
        <v>0</v>
      </c>
      <c r="I202" s="24">
        <v>3</v>
      </c>
      <c r="J202" s="24">
        <v>18.71</v>
      </c>
      <c r="K202" s="25">
        <v>4</v>
      </c>
      <c r="L202" s="42">
        <f t="shared" si="25"/>
        <v>2.6632548184665823</v>
      </c>
      <c r="M202" s="42">
        <f t="shared" si="26"/>
        <v>1.3367451815334177</v>
      </c>
      <c r="N202" s="42">
        <f t="shared" si="27"/>
        <v>1.7868876803528098</v>
      </c>
      <c r="P202">
        <v>133</v>
      </c>
      <c r="Q202">
        <v>2.130938494303904</v>
      </c>
      <c r="R202">
        <v>-0.63093849430390403</v>
      </c>
    </row>
    <row r="203" spans="1:18" x14ac:dyDescent="0.3">
      <c r="A203" s="16" t="s">
        <v>7</v>
      </c>
      <c r="B203" s="17">
        <f t="shared" si="21"/>
        <v>0</v>
      </c>
      <c r="C203" s="18" t="s">
        <v>22</v>
      </c>
      <c r="D203" s="19">
        <f t="shared" si="22"/>
        <v>1</v>
      </c>
      <c r="E203" s="20" t="s">
        <v>23</v>
      </c>
      <c r="F203" s="21">
        <f t="shared" si="23"/>
        <v>1</v>
      </c>
      <c r="G203" s="22" t="s">
        <v>24</v>
      </c>
      <c r="H203" s="23">
        <f t="shared" si="24"/>
        <v>0</v>
      </c>
      <c r="I203" s="24">
        <v>2</v>
      </c>
      <c r="J203" s="24">
        <v>12.74</v>
      </c>
      <c r="K203" s="25">
        <v>2.0099999999999998</v>
      </c>
      <c r="L203" s="42">
        <f t="shared" si="25"/>
        <v>2.0841288221635832</v>
      </c>
      <c r="M203" s="42">
        <f t="shared" si="26"/>
        <v>-7.4128822163583408E-2</v>
      </c>
      <c r="N203" s="42">
        <f t="shared" si="27"/>
        <v>5.4950822753601749E-3</v>
      </c>
      <c r="P203">
        <v>134</v>
      </c>
      <c r="Q203">
        <v>2.2336857295860169</v>
      </c>
      <c r="R203">
        <v>-0.23368572958601685</v>
      </c>
    </row>
    <row r="204" spans="1:18" x14ac:dyDescent="0.3">
      <c r="A204" s="16" t="s">
        <v>7</v>
      </c>
      <c r="B204" s="17">
        <f t="shared" si="21"/>
        <v>0</v>
      </c>
      <c r="C204" s="18" t="s">
        <v>22</v>
      </c>
      <c r="D204" s="19">
        <f t="shared" si="22"/>
        <v>1</v>
      </c>
      <c r="E204" s="20" t="s">
        <v>23</v>
      </c>
      <c r="F204" s="21">
        <f t="shared" si="23"/>
        <v>1</v>
      </c>
      <c r="G204" s="22" t="s">
        <v>24</v>
      </c>
      <c r="H204" s="23">
        <f t="shared" si="24"/>
        <v>0</v>
      </c>
      <c r="I204" s="24">
        <v>2</v>
      </c>
      <c r="J204" s="24">
        <v>16.399999999999999</v>
      </c>
      <c r="K204" s="25">
        <v>2.5</v>
      </c>
      <c r="L204" s="42">
        <f t="shared" si="25"/>
        <v>2.4291333002668241</v>
      </c>
      <c r="M204" s="42">
        <f t="shared" si="26"/>
        <v>7.0866699733175942E-2</v>
      </c>
      <c r="N204" s="42">
        <f t="shared" si="27"/>
        <v>5.0220891310721189E-3</v>
      </c>
      <c r="P204">
        <v>135</v>
      </c>
      <c r="Q204">
        <v>2.7992668412306738</v>
      </c>
      <c r="R204">
        <v>0.45073315876932618</v>
      </c>
    </row>
    <row r="205" spans="1:18" x14ac:dyDescent="0.3">
      <c r="A205" s="16" t="s">
        <v>11</v>
      </c>
      <c r="B205" s="17">
        <f t="shared" si="21"/>
        <v>1</v>
      </c>
      <c r="C205" s="18" t="s">
        <v>22</v>
      </c>
      <c r="D205" s="19">
        <f t="shared" si="22"/>
        <v>1</v>
      </c>
      <c r="E205" s="20" t="s">
        <v>23</v>
      </c>
      <c r="F205" s="21">
        <f t="shared" si="23"/>
        <v>1</v>
      </c>
      <c r="G205" s="22" t="s">
        <v>24</v>
      </c>
      <c r="H205" s="23">
        <f t="shared" si="24"/>
        <v>0</v>
      </c>
      <c r="I205" s="24">
        <v>4</v>
      </c>
      <c r="J205" s="24">
        <v>20.53</v>
      </c>
      <c r="K205" s="25">
        <v>4</v>
      </c>
      <c r="L205" s="42">
        <f t="shared" si="25"/>
        <v>2.8878197273150641</v>
      </c>
      <c r="M205" s="42">
        <f t="shared" si="26"/>
        <v>1.1121802726849359</v>
      </c>
      <c r="N205" s="42">
        <f t="shared" si="27"/>
        <v>1.2369449589495385</v>
      </c>
      <c r="P205">
        <v>136</v>
      </c>
      <c r="Q205">
        <v>1.8801975348081057</v>
      </c>
      <c r="R205">
        <v>-0.6301975348081057</v>
      </c>
    </row>
    <row r="206" spans="1:18" x14ac:dyDescent="0.3">
      <c r="A206" s="16" t="s">
        <v>7</v>
      </c>
      <c r="B206" s="17">
        <f t="shared" si="21"/>
        <v>0</v>
      </c>
      <c r="C206" s="18" t="s">
        <v>22</v>
      </c>
      <c r="D206" s="19">
        <f t="shared" si="22"/>
        <v>1</v>
      </c>
      <c r="E206" s="20" t="s">
        <v>23</v>
      </c>
      <c r="F206" s="21">
        <f t="shared" si="23"/>
        <v>1</v>
      </c>
      <c r="G206" s="22" t="s">
        <v>24</v>
      </c>
      <c r="H206" s="23">
        <f t="shared" si="24"/>
        <v>0</v>
      </c>
      <c r="I206" s="24">
        <v>3</v>
      </c>
      <c r="J206" s="24">
        <v>16.47</v>
      </c>
      <c r="K206" s="25">
        <v>3.23</v>
      </c>
      <c r="L206" s="42">
        <f t="shared" si="25"/>
        <v>2.4887370515522811</v>
      </c>
      <c r="M206" s="42">
        <f t="shared" si="26"/>
        <v>0.74126294844771889</v>
      </c>
      <c r="N206" s="42">
        <f t="shared" si="27"/>
        <v>0.54947075874140561</v>
      </c>
      <c r="P206">
        <v>137</v>
      </c>
      <c r="Q206">
        <v>2.0517571386736519</v>
      </c>
      <c r="R206">
        <v>-5.1757138673651948E-2</v>
      </c>
    </row>
    <row r="207" spans="1:18" x14ac:dyDescent="0.3">
      <c r="A207" s="16" t="s">
        <v>11</v>
      </c>
      <c r="B207" s="17">
        <f t="shared" si="21"/>
        <v>1</v>
      </c>
      <c r="C207" s="18" t="s">
        <v>22</v>
      </c>
      <c r="D207" s="19">
        <f t="shared" si="22"/>
        <v>1</v>
      </c>
      <c r="E207" s="20" t="s">
        <v>21</v>
      </c>
      <c r="F207" s="21">
        <f t="shared" si="23"/>
        <v>3</v>
      </c>
      <c r="G207" s="22" t="s">
        <v>10</v>
      </c>
      <c r="H207" s="23">
        <f t="shared" si="24"/>
        <v>1</v>
      </c>
      <c r="I207" s="24">
        <v>3</v>
      </c>
      <c r="J207" s="24">
        <v>26.59</v>
      </c>
      <c r="K207" s="25">
        <v>3.41</v>
      </c>
      <c r="L207" s="42">
        <f t="shared" si="25"/>
        <v>3.6399738244662583</v>
      </c>
      <c r="M207" s="42">
        <f t="shared" si="26"/>
        <v>-0.22997382446625814</v>
      </c>
      <c r="N207" s="42">
        <f t="shared" si="27"/>
        <v>5.2887959939637311E-2</v>
      </c>
      <c r="P207">
        <v>138</v>
      </c>
      <c r="Q207">
        <v>2.4118437797540837</v>
      </c>
      <c r="R207">
        <v>-0.41184377975408371</v>
      </c>
    </row>
    <row r="208" spans="1:18" x14ac:dyDescent="0.3">
      <c r="A208" s="16" t="s">
        <v>11</v>
      </c>
      <c r="B208" s="17">
        <f t="shared" si="21"/>
        <v>1</v>
      </c>
      <c r="C208" s="18" t="s">
        <v>22</v>
      </c>
      <c r="D208" s="19">
        <f t="shared" si="22"/>
        <v>1</v>
      </c>
      <c r="E208" s="20" t="s">
        <v>21</v>
      </c>
      <c r="F208" s="21">
        <f t="shared" si="23"/>
        <v>3</v>
      </c>
      <c r="G208" s="22" t="s">
        <v>10</v>
      </c>
      <c r="H208" s="23">
        <f t="shared" si="24"/>
        <v>1</v>
      </c>
      <c r="I208" s="24">
        <v>4</v>
      </c>
      <c r="J208" s="24">
        <v>38.729999999999997</v>
      </c>
      <c r="K208" s="25">
        <v>3</v>
      </c>
      <c r="L208" s="42">
        <f t="shared" si="25"/>
        <v>4.8373382453435507</v>
      </c>
      <c r="M208" s="42">
        <f t="shared" si="26"/>
        <v>-1.8373382453435507</v>
      </c>
      <c r="N208" s="42">
        <f t="shared" si="27"/>
        <v>3.3758118278021176</v>
      </c>
      <c r="P208">
        <v>139</v>
      </c>
      <c r="Q208">
        <v>2.4767544436215485</v>
      </c>
      <c r="R208">
        <v>-0.47675444362154851</v>
      </c>
    </row>
    <row r="209" spans="1:18" x14ac:dyDescent="0.3">
      <c r="A209" s="16" t="s">
        <v>11</v>
      </c>
      <c r="B209" s="17">
        <f t="shared" si="21"/>
        <v>1</v>
      </c>
      <c r="C209" s="18" t="s">
        <v>22</v>
      </c>
      <c r="D209" s="19">
        <f t="shared" si="22"/>
        <v>1</v>
      </c>
      <c r="E209" s="20" t="s">
        <v>21</v>
      </c>
      <c r="F209" s="21">
        <f t="shared" si="23"/>
        <v>3</v>
      </c>
      <c r="G209" s="22" t="s">
        <v>10</v>
      </c>
      <c r="H209" s="23">
        <f t="shared" si="24"/>
        <v>1</v>
      </c>
      <c r="I209" s="24">
        <v>2</v>
      </c>
      <c r="J209" s="24">
        <v>24.27</v>
      </c>
      <c r="K209" s="25">
        <v>2.0299999999999998</v>
      </c>
      <c r="L209" s="42">
        <f t="shared" si="25"/>
        <v>3.368277156314055</v>
      </c>
      <c r="M209" s="42">
        <f t="shared" si="26"/>
        <v>-1.3382771563140552</v>
      </c>
      <c r="N209" s="42">
        <f t="shared" si="27"/>
        <v>1.7909857471120341</v>
      </c>
      <c r="P209">
        <v>140</v>
      </c>
      <c r="Q209">
        <v>2.3185228963327154</v>
      </c>
      <c r="R209">
        <v>0.43147710366728464</v>
      </c>
    </row>
    <row r="210" spans="1:18" x14ac:dyDescent="0.3">
      <c r="A210" s="16" t="s">
        <v>7</v>
      </c>
      <c r="B210" s="17">
        <f t="shared" si="21"/>
        <v>0</v>
      </c>
      <c r="C210" s="18" t="s">
        <v>22</v>
      </c>
      <c r="D210" s="19">
        <f t="shared" si="22"/>
        <v>1</v>
      </c>
      <c r="E210" s="20" t="s">
        <v>21</v>
      </c>
      <c r="F210" s="21">
        <f t="shared" si="23"/>
        <v>3</v>
      </c>
      <c r="G210" s="22" t="s">
        <v>10</v>
      </c>
      <c r="H210" s="23">
        <f t="shared" si="24"/>
        <v>1</v>
      </c>
      <c r="I210" s="24">
        <v>2</v>
      </c>
      <c r="J210" s="24">
        <v>12.76</v>
      </c>
      <c r="K210" s="25">
        <v>2.23</v>
      </c>
      <c r="L210" s="42">
        <f t="shared" si="25"/>
        <v>2.3199365719087588</v>
      </c>
      <c r="M210" s="42">
        <f t="shared" si="26"/>
        <v>-8.9936571908758811E-2</v>
      </c>
      <c r="N210" s="42">
        <f t="shared" si="27"/>
        <v>8.0885869666993439E-3</v>
      </c>
      <c r="P210">
        <v>141</v>
      </c>
      <c r="Q210">
        <v>2.724798661530794</v>
      </c>
      <c r="R210">
        <v>0.77520133846920602</v>
      </c>
    </row>
    <row r="211" spans="1:18" x14ac:dyDescent="0.3">
      <c r="A211" s="16" t="s">
        <v>11</v>
      </c>
      <c r="B211" s="17">
        <f t="shared" si="21"/>
        <v>1</v>
      </c>
      <c r="C211" s="18" t="s">
        <v>22</v>
      </c>
      <c r="D211" s="19">
        <f t="shared" si="22"/>
        <v>1</v>
      </c>
      <c r="E211" s="20" t="s">
        <v>21</v>
      </c>
      <c r="F211" s="21">
        <f t="shared" si="23"/>
        <v>3</v>
      </c>
      <c r="G211" s="22" t="s">
        <v>10</v>
      </c>
      <c r="H211" s="23">
        <f t="shared" si="24"/>
        <v>1</v>
      </c>
      <c r="I211" s="24">
        <v>3</v>
      </c>
      <c r="J211" s="24">
        <v>30.06</v>
      </c>
      <c r="K211" s="25">
        <v>2</v>
      </c>
      <c r="L211" s="42">
        <f t="shared" si="25"/>
        <v>3.9670682340340848</v>
      </c>
      <c r="M211" s="42">
        <f t="shared" si="26"/>
        <v>-1.9670682340340848</v>
      </c>
      <c r="N211" s="42">
        <f t="shared" si="27"/>
        <v>3.8693574373459731</v>
      </c>
      <c r="P211">
        <v>142</v>
      </c>
      <c r="Q211">
        <v>4.9744786471157187</v>
      </c>
      <c r="R211">
        <v>1.7255213528842814</v>
      </c>
    </row>
    <row r="212" spans="1:18" x14ac:dyDescent="0.3">
      <c r="A212" s="16" t="s">
        <v>11</v>
      </c>
      <c r="B212" s="17">
        <f t="shared" si="21"/>
        <v>1</v>
      </c>
      <c r="C212" s="18" t="s">
        <v>22</v>
      </c>
      <c r="D212" s="19">
        <f t="shared" si="22"/>
        <v>1</v>
      </c>
      <c r="E212" s="20" t="s">
        <v>21</v>
      </c>
      <c r="F212" s="21">
        <f t="shared" si="23"/>
        <v>3</v>
      </c>
      <c r="G212" s="22" t="s">
        <v>10</v>
      </c>
      <c r="H212" s="23">
        <f t="shared" si="24"/>
        <v>1</v>
      </c>
      <c r="I212" s="24">
        <v>4</v>
      </c>
      <c r="J212" s="24">
        <v>25.89</v>
      </c>
      <c r="K212" s="25">
        <v>5.16</v>
      </c>
      <c r="L212" s="42">
        <f t="shared" si="25"/>
        <v>3.6269946664239838</v>
      </c>
      <c r="M212" s="42">
        <f t="shared" si="26"/>
        <v>1.5330053335760163</v>
      </c>
      <c r="N212" s="42">
        <f t="shared" si="27"/>
        <v>2.3501053527725131</v>
      </c>
      <c r="P212">
        <v>143</v>
      </c>
      <c r="Q212">
        <v>5.4489899197739922</v>
      </c>
      <c r="R212">
        <v>-0.44898991977399216</v>
      </c>
    </row>
    <row r="213" spans="1:18" x14ac:dyDescent="0.3">
      <c r="A213" s="16" t="s">
        <v>11</v>
      </c>
      <c r="B213" s="17">
        <f t="shared" si="21"/>
        <v>1</v>
      </c>
      <c r="C213" s="18" t="s">
        <v>8</v>
      </c>
      <c r="D213" s="19">
        <f t="shared" si="22"/>
        <v>0</v>
      </c>
      <c r="E213" s="20" t="s">
        <v>21</v>
      </c>
      <c r="F213" s="21">
        <f t="shared" si="23"/>
        <v>3</v>
      </c>
      <c r="G213" s="22" t="s">
        <v>10</v>
      </c>
      <c r="H213" s="23">
        <f t="shared" si="24"/>
        <v>1</v>
      </c>
      <c r="I213" s="24">
        <v>4</v>
      </c>
      <c r="J213" s="24">
        <v>48.33</v>
      </c>
      <c r="K213" s="25">
        <v>9</v>
      </c>
      <c r="L213" s="42">
        <f t="shared" si="25"/>
        <v>5.8151123547649348</v>
      </c>
      <c r="M213" s="42">
        <f t="shared" si="26"/>
        <v>3.1848876452350652</v>
      </c>
      <c r="N213" s="42">
        <f t="shared" si="27"/>
        <v>10.143509312770959</v>
      </c>
      <c r="P213">
        <v>144</v>
      </c>
      <c r="Q213">
        <v>4.3277006519781294</v>
      </c>
      <c r="R213">
        <v>0.67229934802187064</v>
      </c>
    </row>
    <row r="214" spans="1:18" x14ac:dyDescent="0.3">
      <c r="A214" s="16" t="s">
        <v>7</v>
      </c>
      <c r="B214" s="17">
        <f t="shared" si="21"/>
        <v>0</v>
      </c>
      <c r="C214" s="18" t="s">
        <v>22</v>
      </c>
      <c r="D214" s="19">
        <f t="shared" si="22"/>
        <v>1</v>
      </c>
      <c r="E214" s="20" t="s">
        <v>21</v>
      </c>
      <c r="F214" s="21">
        <f t="shared" si="23"/>
        <v>3</v>
      </c>
      <c r="G214" s="22" t="s">
        <v>10</v>
      </c>
      <c r="H214" s="23">
        <f t="shared" si="24"/>
        <v>1</v>
      </c>
      <c r="I214" s="24">
        <v>2</v>
      </c>
      <c r="J214" s="24">
        <v>13.27</v>
      </c>
      <c r="K214" s="25">
        <v>2.5</v>
      </c>
      <c r="L214" s="42">
        <f t="shared" si="25"/>
        <v>2.3680109663985545</v>
      </c>
      <c r="M214" s="42">
        <f t="shared" si="26"/>
        <v>0.13198903360144554</v>
      </c>
      <c r="N214" s="42">
        <f t="shared" si="27"/>
        <v>1.7421104991043518E-2</v>
      </c>
      <c r="P214">
        <v>145</v>
      </c>
      <c r="Q214">
        <v>2.6267646021790534</v>
      </c>
      <c r="R214">
        <v>-0.32676460217905356</v>
      </c>
    </row>
    <row r="215" spans="1:18" x14ac:dyDescent="0.3">
      <c r="A215" s="16" t="s">
        <v>7</v>
      </c>
      <c r="B215" s="17">
        <f t="shared" si="21"/>
        <v>0</v>
      </c>
      <c r="C215" s="18" t="s">
        <v>22</v>
      </c>
      <c r="D215" s="19">
        <f t="shared" si="22"/>
        <v>1</v>
      </c>
      <c r="E215" s="20" t="s">
        <v>21</v>
      </c>
      <c r="F215" s="21">
        <f t="shared" si="23"/>
        <v>3</v>
      </c>
      <c r="G215" s="22" t="s">
        <v>10</v>
      </c>
      <c r="H215" s="23">
        <f t="shared" si="24"/>
        <v>1</v>
      </c>
      <c r="I215" s="24">
        <v>3</v>
      </c>
      <c r="J215" s="24">
        <v>28.17</v>
      </c>
      <c r="K215" s="25">
        <v>6.5</v>
      </c>
      <c r="L215" s="42">
        <f t="shared" si="25"/>
        <v>3.8255426986323897</v>
      </c>
      <c r="M215" s="42">
        <f t="shared" si="26"/>
        <v>2.6744573013676103</v>
      </c>
      <c r="N215" s="42">
        <f t="shared" si="27"/>
        <v>7.1527218568385207</v>
      </c>
      <c r="P215">
        <v>146</v>
      </c>
      <c r="Q215">
        <v>1.8651153718309148</v>
      </c>
      <c r="R215">
        <v>-0.3651153718309148</v>
      </c>
    </row>
    <row r="216" spans="1:18" x14ac:dyDescent="0.3">
      <c r="A216" s="16" t="s">
        <v>7</v>
      </c>
      <c r="B216" s="17">
        <f t="shared" si="21"/>
        <v>0</v>
      </c>
      <c r="C216" s="18" t="s">
        <v>22</v>
      </c>
      <c r="D216" s="19">
        <f t="shared" si="22"/>
        <v>1</v>
      </c>
      <c r="E216" s="20" t="s">
        <v>21</v>
      </c>
      <c r="F216" s="21">
        <f t="shared" si="23"/>
        <v>3</v>
      </c>
      <c r="G216" s="22" t="s">
        <v>10</v>
      </c>
      <c r="H216" s="23">
        <f t="shared" si="24"/>
        <v>1</v>
      </c>
      <c r="I216" s="24">
        <v>2</v>
      </c>
      <c r="J216" s="24">
        <v>12.9</v>
      </c>
      <c r="K216" s="25">
        <v>1.1000000000000001</v>
      </c>
      <c r="L216" s="42">
        <f t="shared" si="25"/>
        <v>2.3331334645138009</v>
      </c>
      <c r="M216" s="42">
        <f t="shared" si="26"/>
        <v>-1.2331334645138008</v>
      </c>
      <c r="N216" s="42">
        <f t="shared" si="27"/>
        <v>1.5206181413038091</v>
      </c>
      <c r="P216">
        <v>147</v>
      </c>
      <c r="Q216">
        <v>3.0100513488485103</v>
      </c>
      <c r="R216">
        <v>-1.6500513488485102</v>
      </c>
    </row>
    <row r="217" spans="1:18" x14ac:dyDescent="0.3">
      <c r="A217" s="16" t="s">
        <v>11</v>
      </c>
      <c r="B217" s="17">
        <f t="shared" si="21"/>
        <v>1</v>
      </c>
      <c r="C217" s="18" t="s">
        <v>22</v>
      </c>
      <c r="D217" s="19">
        <f t="shared" si="22"/>
        <v>1</v>
      </c>
      <c r="E217" s="20" t="s">
        <v>21</v>
      </c>
      <c r="F217" s="21">
        <f t="shared" si="23"/>
        <v>3</v>
      </c>
      <c r="G217" s="22" t="s">
        <v>10</v>
      </c>
      <c r="H217" s="23">
        <f t="shared" si="24"/>
        <v>1</v>
      </c>
      <c r="I217" s="24">
        <v>5</v>
      </c>
      <c r="J217" s="24">
        <v>28.15</v>
      </c>
      <c r="K217" s="25">
        <v>3</v>
      </c>
      <c r="L217" s="42">
        <f t="shared" si="25"/>
        <v>3.8930355234597407</v>
      </c>
      <c r="M217" s="42">
        <f t="shared" si="26"/>
        <v>-0.89303552345974069</v>
      </c>
      <c r="N217" s="42">
        <f t="shared" si="27"/>
        <v>0.79751244616101302</v>
      </c>
      <c r="P217">
        <v>148</v>
      </c>
      <c r="Q217">
        <v>2.1969229573291136</v>
      </c>
      <c r="R217">
        <v>-0.56692295732911369</v>
      </c>
    </row>
    <row r="218" spans="1:18" x14ac:dyDescent="0.3">
      <c r="A218" s="16" t="s">
        <v>11</v>
      </c>
      <c r="B218" s="17">
        <f t="shared" si="21"/>
        <v>1</v>
      </c>
      <c r="C218" s="18" t="s">
        <v>22</v>
      </c>
      <c r="D218" s="19">
        <f t="shared" si="22"/>
        <v>1</v>
      </c>
      <c r="E218" s="20" t="s">
        <v>21</v>
      </c>
      <c r="F218" s="21">
        <f t="shared" si="23"/>
        <v>3</v>
      </c>
      <c r="G218" s="22" t="s">
        <v>10</v>
      </c>
      <c r="H218" s="23">
        <f t="shared" si="24"/>
        <v>1</v>
      </c>
      <c r="I218" s="24">
        <v>2</v>
      </c>
      <c r="J218" s="24">
        <v>11.59</v>
      </c>
      <c r="K218" s="25">
        <v>1.5</v>
      </c>
      <c r="L218" s="42">
        <f t="shared" si="25"/>
        <v>2.173015740371679</v>
      </c>
      <c r="M218" s="42">
        <f t="shared" si="26"/>
        <v>-0.67301574037167899</v>
      </c>
      <c r="N218" s="42">
        <f t="shared" si="27"/>
        <v>0.45295018678803922</v>
      </c>
      <c r="P218">
        <v>149</v>
      </c>
      <c r="Q218">
        <v>1.9632796886731871</v>
      </c>
      <c r="R218">
        <v>-0.23327968867318716</v>
      </c>
    </row>
    <row r="219" spans="1:18" x14ac:dyDescent="0.3">
      <c r="A219" s="16" t="s">
        <v>11</v>
      </c>
      <c r="B219" s="17">
        <f t="shared" si="21"/>
        <v>1</v>
      </c>
      <c r="C219" s="18" t="s">
        <v>22</v>
      </c>
      <c r="D219" s="19">
        <f t="shared" si="22"/>
        <v>1</v>
      </c>
      <c r="E219" s="20" t="s">
        <v>21</v>
      </c>
      <c r="F219" s="21">
        <f t="shared" si="23"/>
        <v>3</v>
      </c>
      <c r="G219" s="22" t="s">
        <v>10</v>
      </c>
      <c r="H219" s="23">
        <f t="shared" si="24"/>
        <v>1</v>
      </c>
      <c r="I219" s="24">
        <v>2</v>
      </c>
      <c r="J219" s="24">
        <v>7.74</v>
      </c>
      <c r="K219" s="25">
        <v>1.44</v>
      </c>
      <c r="L219" s="42">
        <f t="shared" si="25"/>
        <v>1.8101011937330242</v>
      </c>
      <c r="M219" s="42">
        <f t="shared" si="26"/>
        <v>-0.3701011937330243</v>
      </c>
      <c r="N219" s="42">
        <f t="shared" si="27"/>
        <v>0.13697489360260959</v>
      </c>
      <c r="P219">
        <v>150</v>
      </c>
      <c r="Q219">
        <v>1.7493015014342919</v>
      </c>
      <c r="R219">
        <v>0.25069849856570814</v>
      </c>
    </row>
    <row r="220" spans="1:18" x14ac:dyDescent="0.3">
      <c r="A220" s="16" t="s">
        <v>7</v>
      </c>
      <c r="B220" s="17">
        <f t="shared" si="21"/>
        <v>0</v>
      </c>
      <c r="C220" s="18" t="s">
        <v>22</v>
      </c>
      <c r="D220" s="19">
        <f t="shared" si="22"/>
        <v>1</v>
      </c>
      <c r="E220" s="20" t="s">
        <v>21</v>
      </c>
      <c r="F220" s="21">
        <f t="shared" si="23"/>
        <v>3</v>
      </c>
      <c r="G220" s="22" t="s">
        <v>10</v>
      </c>
      <c r="H220" s="23">
        <f t="shared" si="24"/>
        <v>1</v>
      </c>
      <c r="I220" s="24">
        <v>4</v>
      </c>
      <c r="J220" s="24">
        <v>30.14</v>
      </c>
      <c r="K220" s="25">
        <v>3.09</v>
      </c>
      <c r="L220" s="42">
        <f t="shared" si="25"/>
        <v>4.0642471352719873</v>
      </c>
      <c r="M220" s="42">
        <f t="shared" si="26"/>
        <v>-0.97424713527198747</v>
      </c>
      <c r="N220" s="42">
        <f t="shared" si="27"/>
        <v>0.94915748058567428</v>
      </c>
      <c r="P220">
        <v>151</v>
      </c>
      <c r="Q220">
        <v>2.410679836726934</v>
      </c>
      <c r="R220">
        <v>8.9320163273066022E-2</v>
      </c>
    </row>
    <row r="221" spans="1:18" x14ac:dyDescent="0.3">
      <c r="A221" s="16" t="s">
        <v>11</v>
      </c>
      <c r="B221" s="17">
        <f t="shared" si="21"/>
        <v>1</v>
      </c>
      <c r="C221" s="18" t="s">
        <v>22</v>
      </c>
      <c r="D221" s="19">
        <f t="shared" si="22"/>
        <v>1</v>
      </c>
      <c r="E221" s="20" t="s">
        <v>25</v>
      </c>
      <c r="F221" s="21">
        <f t="shared" si="23"/>
        <v>2</v>
      </c>
      <c r="G221" s="22" t="s">
        <v>24</v>
      </c>
      <c r="H221" s="23">
        <f t="shared" si="24"/>
        <v>0</v>
      </c>
      <c r="I221" s="24">
        <v>2</v>
      </c>
      <c r="J221" s="24">
        <v>12.16</v>
      </c>
      <c r="K221" s="25">
        <v>2.2000000000000002</v>
      </c>
      <c r="L221" s="42">
        <f t="shared" si="25"/>
        <v>2.1677878371519039</v>
      </c>
      <c r="M221" s="42">
        <f t="shared" si="26"/>
        <v>3.2212162848096249E-2</v>
      </c>
      <c r="N221" s="42">
        <f t="shared" si="27"/>
        <v>1.0376234353522721E-3</v>
      </c>
      <c r="P221">
        <v>152</v>
      </c>
      <c r="Q221">
        <v>2.3220721292359379</v>
      </c>
      <c r="R221">
        <v>-0.32207212923593787</v>
      </c>
    </row>
    <row r="222" spans="1:18" x14ac:dyDescent="0.3">
      <c r="A222" s="16" t="s">
        <v>7</v>
      </c>
      <c r="B222" s="17">
        <f t="shared" si="21"/>
        <v>0</v>
      </c>
      <c r="C222" s="18" t="s">
        <v>22</v>
      </c>
      <c r="D222" s="19">
        <f t="shared" si="22"/>
        <v>1</v>
      </c>
      <c r="E222" s="20" t="s">
        <v>25</v>
      </c>
      <c r="F222" s="21">
        <f t="shared" si="23"/>
        <v>2</v>
      </c>
      <c r="G222" s="22" t="s">
        <v>24</v>
      </c>
      <c r="H222" s="23">
        <f t="shared" si="24"/>
        <v>0</v>
      </c>
      <c r="I222" s="24">
        <v>2</v>
      </c>
      <c r="J222" s="24">
        <v>13.42</v>
      </c>
      <c r="K222" s="25">
        <v>3.48</v>
      </c>
      <c r="L222" s="42">
        <f t="shared" si="25"/>
        <v>2.3231923853636527</v>
      </c>
      <c r="M222" s="42">
        <f t="shared" si="26"/>
        <v>1.1568076146363473</v>
      </c>
      <c r="N222" s="42">
        <f t="shared" si="27"/>
        <v>1.3382038572806358</v>
      </c>
      <c r="P222">
        <v>153</v>
      </c>
      <c r="Q222">
        <v>2.8863448316316851</v>
      </c>
      <c r="R222">
        <v>-0.14634483163168488</v>
      </c>
    </row>
    <row r="223" spans="1:18" x14ac:dyDescent="0.3">
      <c r="A223" s="16" t="s">
        <v>11</v>
      </c>
      <c r="B223" s="17">
        <f t="shared" si="21"/>
        <v>1</v>
      </c>
      <c r="C223" s="18" t="s">
        <v>22</v>
      </c>
      <c r="D223" s="19">
        <f t="shared" si="22"/>
        <v>1</v>
      </c>
      <c r="E223" s="20" t="s">
        <v>25</v>
      </c>
      <c r="F223" s="21">
        <f t="shared" si="23"/>
        <v>2</v>
      </c>
      <c r="G223" s="22" t="s">
        <v>24</v>
      </c>
      <c r="H223" s="23">
        <f t="shared" si="24"/>
        <v>0</v>
      </c>
      <c r="I223" s="24">
        <v>1</v>
      </c>
      <c r="J223" s="24">
        <v>8.58</v>
      </c>
      <c r="K223" s="25">
        <v>1.92</v>
      </c>
      <c r="L223" s="42">
        <f t="shared" si="25"/>
        <v>1.7773191355543223</v>
      </c>
      <c r="M223" s="42">
        <f t="shared" si="26"/>
        <v>0.14268086444567762</v>
      </c>
      <c r="N223" s="42">
        <f t="shared" si="27"/>
        <v>2.0357829078965835E-2</v>
      </c>
      <c r="P223">
        <v>154</v>
      </c>
      <c r="Q223">
        <v>3.7484902528269517</v>
      </c>
      <c r="R223">
        <v>-1.7484902528269517</v>
      </c>
    </row>
    <row r="224" spans="1:18" x14ac:dyDescent="0.3">
      <c r="A224" s="16" t="s">
        <v>7</v>
      </c>
      <c r="B224" s="17">
        <f t="shared" si="21"/>
        <v>0</v>
      </c>
      <c r="C224" s="18" t="s">
        <v>8</v>
      </c>
      <c r="D224" s="19">
        <f t="shared" si="22"/>
        <v>0</v>
      </c>
      <c r="E224" s="20" t="s">
        <v>25</v>
      </c>
      <c r="F224" s="21">
        <f t="shared" si="23"/>
        <v>2</v>
      </c>
      <c r="G224" s="22" t="s">
        <v>24</v>
      </c>
      <c r="H224" s="23">
        <f t="shared" si="24"/>
        <v>0</v>
      </c>
      <c r="I224" s="24">
        <v>3</v>
      </c>
      <c r="J224" s="24">
        <v>15.98</v>
      </c>
      <c r="K224" s="25">
        <v>3</v>
      </c>
      <c r="L224" s="42">
        <f t="shared" si="25"/>
        <v>2.6903566287715757</v>
      </c>
      <c r="M224" s="42">
        <f t="shared" si="26"/>
        <v>0.30964337122842434</v>
      </c>
      <c r="N224" s="42">
        <f t="shared" si="27"/>
        <v>9.587901734570381E-2</v>
      </c>
      <c r="P224">
        <v>155</v>
      </c>
      <c r="Q224">
        <v>3.2979106338833746</v>
      </c>
      <c r="R224">
        <v>-1.2979106338833746</v>
      </c>
    </row>
    <row r="225" spans="1:18" x14ac:dyDescent="0.3">
      <c r="A225" s="16" t="s">
        <v>11</v>
      </c>
      <c r="B225" s="17">
        <f t="shared" si="21"/>
        <v>1</v>
      </c>
      <c r="C225" s="18" t="s">
        <v>22</v>
      </c>
      <c r="D225" s="19">
        <f t="shared" si="22"/>
        <v>1</v>
      </c>
      <c r="E225" s="20" t="s">
        <v>25</v>
      </c>
      <c r="F225" s="21">
        <f t="shared" si="23"/>
        <v>2</v>
      </c>
      <c r="G225" s="22" t="s">
        <v>24</v>
      </c>
      <c r="H225" s="23">
        <f t="shared" si="24"/>
        <v>0</v>
      </c>
      <c r="I225" s="24">
        <v>2</v>
      </c>
      <c r="J225" s="24">
        <v>13.42</v>
      </c>
      <c r="K225" s="25">
        <v>1.58</v>
      </c>
      <c r="L225" s="42">
        <f t="shared" si="25"/>
        <v>2.2865598705972818</v>
      </c>
      <c r="M225" s="42">
        <f t="shared" si="26"/>
        <v>-0.70655987059728176</v>
      </c>
      <c r="N225" s="42">
        <f t="shared" si="27"/>
        <v>0.49922685073844753</v>
      </c>
      <c r="P225">
        <v>156</v>
      </c>
      <c r="Q225">
        <v>4.4596837867597783</v>
      </c>
      <c r="R225">
        <v>0.6803162132402214</v>
      </c>
    </row>
    <row r="226" spans="1:18" x14ac:dyDescent="0.3">
      <c r="A226" s="16" t="s">
        <v>7</v>
      </c>
      <c r="B226" s="17">
        <f t="shared" si="21"/>
        <v>0</v>
      </c>
      <c r="C226" s="18" t="s">
        <v>22</v>
      </c>
      <c r="D226" s="19">
        <f t="shared" si="22"/>
        <v>1</v>
      </c>
      <c r="E226" s="20" t="s">
        <v>25</v>
      </c>
      <c r="F226" s="21">
        <f t="shared" si="23"/>
        <v>2</v>
      </c>
      <c r="G226" s="22" t="s">
        <v>24</v>
      </c>
      <c r="H226" s="23">
        <f t="shared" si="24"/>
        <v>0</v>
      </c>
      <c r="I226" s="24">
        <v>2</v>
      </c>
      <c r="J226" s="24">
        <v>16.27</v>
      </c>
      <c r="K226" s="25">
        <v>2.5</v>
      </c>
      <c r="L226" s="42">
        <f t="shared" si="25"/>
        <v>2.5918434133948649</v>
      </c>
      <c r="M226" s="42">
        <f t="shared" si="26"/>
        <v>-9.1843413394864903E-2</v>
      </c>
      <c r="N226" s="42">
        <f t="shared" si="27"/>
        <v>8.4352125840200503E-3</v>
      </c>
      <c r="P226">
        <v>157</v>
      </c>
      <c r="Q226">
        <v>6.3249233034287684</v>
      </c>
      <c r="R226">
        <v>-1.3249233034287684</v>
      </c>
    </row>
    <row r="227" spans="1:18" x14ac:dyDescent="0.3">
      <c r="A227" s="16" t="s">
        <v>7</v>
      </c>
      <c r="B227" s="17">
        <f t="shared" si="21"/>
        <v>0</v>
      </c>
      <c r="C227" s="18" t="s">
        <v>22</v>
      </c>
      <c r="D227" s="19">
        <f t="shared" si="22"/>
        <v>1</v>
      </c>
      <c r="E227" s="20" t="s">
        <v>25</v>
      </c>
      <c r="F227" s="21">
        <f t="shared" si="23"/>
        <v>2</v>
      </c>
      <c r="G227" s="22" t="s">
        <v>24</v>
      </c>
      <c r="H227" s="23">
        <f t="shared" si="24"/>
        <v>0</v>
      </c>
      <c r="I227" s="24">
        <v>2</v>
      </c>
      <c r="J227" s="24">
        <v>10.09</v>
      </c>
      <c r="K227" s="25">
        <v>2</v>
      </c>
      <c r="L227" s="42">
        <f t="shared" si="25"/>
        <v>2.0092948684008682</v>
      </c>
      <c r="M227" s="42">
        <f t="shared" si="26"/>
        <v>-9.2948684008682392E-3</v>
      </c>
      <c r="N227" s="42">
        <f t="shared" si="27"/>
        <v>8.6394578589458896E-5</v>
      </c>
      <c r="P227">
        <v>158</v>
      </c>
      <c r="Q227">
        <v>3.8275413509666723</v>
      </c>
      <c r="R227">
        <v>-7.7541350966672251E-2</v>
      </c>
    </row>
    <row r="228" spans="1:18" x14ac:dyDescent="0.3">
      <c r="A228" s="16" t="s">
        <v>11</v>
      </c>
      <c r="B228" s="17">
        <f t="shared" si="21"/>
        <v>1</v>
      </c>
      <c r="C228" s="18" t="s">
        <v>8</v>
      </c>
      <c r="D228" s="19">
        <f t="shared" si="22"/>
        <v>0</v>
      </c>
      <c r="E228" s="20" t="s">
        <v>21</v>
      </c>
      <c r="F228" s="21">
        <f t="shared" si="23"/>
        <v>3</v>
      </c>
      <c r="G228" s="22" t="s">
        <v>10</v>
      </c>
      <c r="H228" s="23">
        <f t="shared" si="24"/>
        <v>1</v>
      </c>
      <c r="I228" s="24">
        <v>4</v>
      </c>
      <c r="J228" s="24">
        <v>20.45</v>
      </c>
      <c r="K228" s="25">
        <v>3</v>
      </c>
      <c r="L228" s="42">
        <f t="shared" si="25"/>
        <v>3.1870454559894279</v>
      </c>
      <c r="M228" s="42">
        <f t="shared" si="26"/>
        <v>-0.1870454559894279</v>
      </c>
      <c r="N228" s="42">
        <f t="shared" si="27"/>
        <v>3.4986002606293011E-2</v>
      </c>
      <c r="P228">
        <v>159</v>
      </c>
      <c r="Q228">
        <v>2.3832131588402441</v>
      </c>
      <c r="R228">
        <v>0.22678684115975578</v>
      </c>
    </row>
    <row r="229" spans="1:18" x14ac:dyDescent="0.3">
      <c r="A229" s="16" t="s">
        <v>11</v>
      </c>
      <c r="B229" s="17">
        <f t="shared" si="21"/>
        <v>1</v>
      </c>
      <c r="C229" s="18" t="s">
        <v>8</v>
      </c>
      <c r="D229" s="19">
        <f t="shared" si="22"/>
        <v>0</v>
      </c>
      <c r="E229" s="20" t="s">
        <v>21</v>
      </c>
      <c r="F229" s="21">
        <f t="shared" si="23"/>
        <v>3</v>
      </c>
      <c r="G229" s="22" t="s">
        <v>10</v>
      </c>
      <c r="H229" s="23">
        <f t="shared" si="24"/>
        <v>1</v>
      </c>
      <c r="I229" s="24">
        <v>2</v>
      </c>
      <c r="J229" s="24">
        <v>13.28</v>
      </c>
      <c r="K229" s="25">
        <v>2.72</v>
      </c>
      <c r="L229" s="42">
        <f t="shared" si="25"/>
        <v>2.4051654176081909</v>
      </c>
      <c r="M229" s="42">
        <f t="shared" si="26"/>
        <v>0.31483458239180928</v>
      </c>
      <c r="N229" s="42">
        <f t="shared" si="27"/>
        <v>9.9120814269824942E-2</v>
      </c>
      <c r="P229">
        <v>160</v>
      </c>
      <c r="Q229">
        <v>2.9887262928509619</v>
      </c>
      <c r="R229">
        <v>-0.98872629285096192</v>
      </c>
    </row>
    <row r="230" spans="1:18" x14ac:dyDescent="0.3">
      <c r="A230" s="16" t="s">
        <v>7</v>
      </c>
      <c r="B230" s="17">
        <f t="shared" si="21"/>
        <v>0</v>
      </c>
      <c r="C230" s="18" t="s">
        <v>22</v>
      </c>
      <c r="D230" s="19">
        <f t="shared" si="22"/>
        <v>1</v>
      </c>
      <c r="E230" s="20" t="s">
        <v>21</v>
      </c>
      <c r="F230" s="21">
        <f t="shared" si="23"/>
        <v>3</v>
      </c>
      <c r="G230" s="22" t="s">
        <v>10</v>
      </c>
      <c r="H230" s="23">
        <f t="shared" si="24"/>
        <v>1</v>
      </c>
      <c r="I230" s="24">
        <v>2</v>
      </c>
      <c r="J230" s="24">
        <v>22.12</v>
      </c>
      <c r="K230" s="25">
        <v>2.88</v>
      </c>
      <c r="L230" s="42">
        <f t="shared" si="25"/>
        <v>3.2022431060744241</v>
      </c>
      <c r="M230" s="42">
        <f t="shared" si="26"/>
        <v>-0.32224310607442419</v>
      </c>
      <c r="N230" s="42">
        <f t="shared" si="27"/>
        <v>0.1038406194124926</v>
      </c>
      <c r="P230">
        <v>161</v>
      </c>
      <c r="Q230">
        <v>3.4609865210742505</v>
      </c>
      <c r="R230">
        <v>3.9013478925749467E-2</v>
      </c>
    </row>
    <row r="231" spans="1:18" x14ac:dyDescent="0.3">
      <c r="A231" s="16" t="s">
        <v>11</v>
      </c>
      <c r="B231" s="17">
        <f t="shared" si="21"/>
        <v>1</v>
      </c>
      <c r="C231" s="18" t="s">
        <v>22</v>
      </c>
      <c r="D231" s="19">
        <f t="shared" si="22"/>
        <v>1</v>
      </c>
      <c r="E231" s="20" t="s">
        <v>21</v>
      </c>
      <c r="F231" s="21">
        <f t="shared" si="23"/>
        <v>3</v>
      </c>
      <c r="G231" s="22" t="s">
        <v>10</v>
      </c>
      <c r="H231" s="23">
        <f t="shared" si="24"/>
        <v>1</v>
      </c>
      <c r="I231" s="24">
        <v>4</v>
      </c>
      <c r="J231" s="24">
        <v>24.01</v>
      </c>
      <c r="K231" s="25">
        <v>2</v>
      </c>
      <c r="L231" s="42">
        <f t="shared" si="25"/>
        <v>3.4497792514419916</v>
      </c>
      <c r="M231" s="42">
        <f t="shared" si="26"/>
        <v>-1.4497792514419916</v>
      </c>
      <c r="N231" s="42">
        <f t="shared" si="27"/>
        <v>2.1018598779117017</v>
      </c>
      <c r="P231">
        <v>162</v>
      </c>
      <c r="Q231">
        <v>2.2777682754904394</v>
      </c>
      <c r="R231">
        <v>0.22223172450956064</v>
      </c>
    </row>
    <row r="232" spans="1:18" x14ac:dyDescent="0.3">
      <c r="A232" s="16" t="s">
        <v>11</v>
      </c>
      <c r="B232" s="17">
        <f t="shared" si="21"/>
        <v>1</v>
      </c>
      <c r="C232" s="18" t="s">
        <v>22</v>
      </c>
      <c r="D232" s="19">
        <f t="shared" si="22"/>
        <v>1</v>
      </c>
      <c r="E232" s="20" t="s">
        <v>21</v>
      </c>
      <c r="F232" s="21">
        <f t="shared" si="23"/>
        <v>3</v>
      </c>
      <c r="G232" s="22" t="s">
        <v>10</v>
      </c>
      <c r="H232" s="23">
        <f t="shared" si="24"/>
        <v>1</v>
      </c>
      <c r="I232" s="24">
        <v>3</v>
      </c>
      <c r="J232" s="24">
        <v>15.69</v>
      </c>
      <c r="K232" s="25">
        <v>3</v>
      </c>
      <c r="L232" s="42">
        <f t="shared" si="25"/>
        <v>2.6125014716451309</v>
      </c>
      <c r="M232" s="42">
        <f t="shared" si="26"/>
        <v>0.38749852835486909</v>
      </c>
      <c r="N232" s="42">
        <f t="shared" si="27"/>
        <v>0.15015510947718927</v>
      </c>
      <c r="P232">
        <v>163</v>
      </c>
      <c r="Q232">
        <v>2.8240006518602412</v>
      </c>
      <c r="R232">
        <v>-0.82400065186024118</v>
      </c>
    </row>
    <row r="233" spans="1:18" x14ac:dyDescent="0.3">
      <c r="A233" s="16" t="s">
        <v>11</v>
      </c>
      <c r="B233" s="17">
        <f t="shared" si="21"/>
        <v>1</v>
      </c>
      <c r="C233" s="18" t="s">
        <v>8</v>
      </c>
      <c r="D233" s="19">
        <f t="shared" si="22"/>
        <v>0</v>
      </c>
      <c r="E233" s="20" t="s">
        <v>21</v>
      </c>
      <c r="F233" s="21">
        <f t="shared" si="23"/>
        <v>3</v>
      </c>
      <c r="G233" s="22" t="s">
        <v>10</v>
      </c>
      <c r="H233" s="23">
        <f t="shared" si="24"/>
        <v>1</v>
      </c>
      <c r="I233" s="24">
        <v>2</v>
      </c>
      <c r="J233" s="24">
        <v>11.61</v>
      </c>
      <c r="K233" s="25">
        <v>3.39</v>
      </c>
      <c r="L233" s="42">
        <f t="shared" si="25"/>
        <v>2.2477453415337614</v>
      </c>
      <c r="M233" s="42">
        <f t="shared" si="26"/>
        <v>1.1422546584662387</v>
      </c>
      <c r="N233" s="42">
        <f t="shared" si="27"/>
        <v>1.3047457047878237</v>
      </c>
      <c r="P233">
        <v>164</v>
      </c>
      <c r="Q233">
        <v>2.3861713218889991</v>
      </c>
      <c r="R233">
        <v>-0.38617132188899905</v>
      </c>
    </row>
    <row r="234" spans="1:18" x14ac:dyDescent="0.3">
      <c r="A234" s="16" t="s">
        <v>11</v>
      </c>
      <c r="B234" s="17">
        <f t="shared" si="21"/>
        <v>1</v>
      </c>
      <c r="C234" s="18" t="s">
        <v>8</v>
      </c>
      <c r="D234" s="19">
        <f t="shared" si="22"/>
        <v>0</v>
      </c>
      <c r="E234" s="20" t="s">
        <v>21</v>
      </c>
      <c r="F234" s="21">
        <f t="shared" si="23"/>
        <v>3</v>
      </c>
      <c r="G234" s="22" t="s">
        <v>10</v>
      </c>
      <c r="H234" s="23">
        <f t="shared" si="24"/>
        <v>1</v>
      </c>
      <c r="I234" s="24">
        <v>2</v>
      </c>
      <c r="J234" s="24">
        <v>10.77</v>
      </c>
      <c r="K234" s="25">
        <v>1.47</v>
      </c>
      <c r="L234" s="42">
        <f t="shared" si="25"/>
        <v>2.1685639859035093</v>
      </c>
      <c r="M234" s="42">
        <f t="shared" si="26"/>
        <v>-0.69856398590350932</v>
      </c>
      <c r="N234" s="42">
        <f t="shared" si="27"/>
        <v>0.48799164240139836</v>
      </c>
      <c r="P234">
        <v>165</v>
      </c>
      <c r="Q234">
        <v>2.6987345247129757</v>
      </c>
      <c r="R234">
        <v>0.3012654752870243</v>
      </c>
    </row>
    <row r="235" spans="1:18" x14ac:dyDescent="0.3">
      <c r="A235" s="16" t="s">
        <v>11</v>
      </c>
      <c r="B235" s="17">
        <f t="shared" si="21"/>
        <v>1</v>
      </c>
      <c r="C235" s="18" t="s">
        <v>22</v>
      </c>
      <c r="D235" s="19">
        <f t="shared" si="22"/>
        <v>1</v>
      </c>
      <c r="E235" s="20" t="s">
        <v>21</v>
      </c>
      <c r="F235" s="21">
        <f t="shared" si="23"/>
        <v>3</v>
      </c>
      <c r="G235" s="22" t="s">
        <v>10</v>
      </c>
      <c r="H235" s="23">
        <f t="shared" si="24"/>
        <v>1</v>
      </c>
      <c r="I235" s="24">
        <v>2</v>
      </c>
      <c r="J235" s="24">
        <v>15.53</v>
      </c>
      <c r="K235" s="25">
        <v>3</v>
      </c>
      <c r="L235" s="42">
        <f t="shared" si="25"/>
        <v>2.544414003685004</v>
      </c>
      <c r="M235" s="42">
        <f t="shared" si="26"/>
        <v>0.45558599631499597</v>
      </c>
      <c r="N235" s="42">
        <f t="shared" si="27"/>
        <v>0.20755860003832752</v>
      </c>
      <c r="P235">
        <v>166</v>
      </c>
      <c r="Q235">
        <v>3.5706979767217204</v>
      </c>
      <c r="R235">
        <v>-9.0697976721720419E-2</v>
      </c>
    </row>
    <row r="236" spans="1:18" x14ac:dyDescent="0.3">
      <c r="A236" s="16" t="s">
        <v>11</v>
      </c>
      <c r="B236" s="17">
        <f t="shared" si="21"/>
        <v>1</v>
      </c>
      <c r="C236" s="18" t="s">
        <v>8</v>
      </c>
      <c r="D236" s="19">
        <f t="shared" si="22"/>
        <v>0</v>
      </c>
      <c r="E236" s="20" t="s">
        <v>21</v>
      </c>
      <c r="F236" s="21">
        <f t="shared" si="23"/>
        <v>3</v>
      </c>
      <c r="G236" s="22" t="s">
        <v>10</v>
      </c>
      <c r="H236" s="23">
        <f t="shared" si="24"/>
        <v>1</v>
      </c>
      <c r="I236" s="24">
        <v>2</v>
      </c>
      <c r="J236" s="24">
        <v>10.07</v>
      </c>
      <c r="K236" s="25">
        <v>1.25</v>
      </c>
      <c r="L236" s="42">
        <f t="shared" si="25"/>
        <v>2.1025795228782993</v>
      </c>
      <c r="M236" s="42">
        <f t="shared" si="26"/>
        <v>-0.8525795228782993</v>
      </c>
      <c r="N236" s="42">
        <f t="shared" si="27"/>
        <v>0.72689184283138852</v>
      </c>
      <c r="P236">
        <v>167</v>
      </c>
      <c r="Q236">
        <v>3.0413027762107272</v>
      </c>
      <c r="R236">
        <v>-0.80130277621072699</v>
      </c>
    </row>
    <row r="237" spans="1:18" x14ac:dyDescent="0.3">
      <c r="A237" s="16" t="s">
        <v>11</v>
      </c>
      <c r="B237" s="17">
        <f t="shared" si="21"/>
        <v>1</v>
      </c>
      <c r="C237" s="18" t="s">
        <v>22</v>
      </c>
      <c r="D237" s="19">
        <f t="shared" si="22"/>
        <v>1</v>
      </c>
      <c r="E237" s="20" t="s">
        <v>21</v>
      </c>
      <c r="F237" s="21">
        <f t="shared" si="23"/>
        <v>3</v>
      </c>
      <c r="G237" s="22" t="s">
        <v>10</v>
      </c>
      <c r="H237" s="23">
        <f t="shared" si="24"/>
        <v>1</v>
      </c>
      <c r="I237" s="24">
        <v>2</v>
      </c>
      <c r="J237" s="24">
        <v>12.6</v>
      </c>
      <c r="K237" s="25">
        <v>1</v>
      </c>
      <c r="L237" s="42">
        <f t="shared" si="25"/>
        <v>2.2682218941651966</v>
      </c>
      <c r="M237" s="42">
        <f t="shared" si="26"/>
        <v>-1.2682218941651966</v>
      </c>
      <c r="N237" s="42">
        <f t="shared" si="27"/>
        <v>1.608386772839959</v>
      </c>
      <c r="P237">
        <v>168</v>
      </c>
      <c r="Q237">
        <v>4.423417046056243</v>
      </c>
      <c r="R237">
        <v>7.6582953943757026E-2</v>
      </c>
    </row>
    <row r="238" spans="1:18" x14ac:dyDescent="0.3">
      <c r="A238" s="16" t="s">
        <v>11</v>
      </c>
      <c r="B238" s="17">
        <f t="shared" si="21"/>
        <v>1</v>
      </c>
      <c r="C238" s="18" t="s">
        <v>22</v>
      </c>
      <c r="D238" s="19">
        <f t="shared" si="22"/>
        <v>1</v>
      </c>
      <c r="E238" s="20" t="s">
        <v>21</v>
      </c>
      <c r="F238" s="21">
        <f t="shared" si="23"/>
        <v>3</v>
      </c>
      <c r="G238" s="22" t="s">
        <v>10</v>
      </c>
      <c r="H238" s="23">
        <f t="shared" si="24"/>
        <v>1</v>
      </c>
      <c r="I238" s="24">
        <v>2</v>
      </c>
      <c r="J238" s="24">
        <v>32.83</v>
      </c>
      <c r="K238" s="25">
        <v>1.17</v>
      </c>
      <c r="L238" s="42">
        <f t="shared" si="25"/>
        <v>4.1751728755937663</v>
      </c>
      <c r="M238" s="42">
        <f t="shared" si="26"/>
        <v>-3.0051728755937663</v>
      </c>
      <c r="N238" s="42">
        <f t="shared" si="27"/>
        <v>9.0310640122045065</v>
      </c>
      <c r="P238">
        <v>169</v>
      </c>
      <c r="Q238">
        <v>1.993425670966535</v>
      </c>
      <c r="R238">
        <v>-0.3834256709665349</v>
      </c>
    </row>
    <row r="239" spans="1:18" x14ac:dyDescent="0.3">
      <c r="A239" s="16" t="s">
        <v>7</v>
      </c>
      <c r="B239" s="17">
        <f t="shared" si="21"/>
        <v>0</v>
      </c>
      <c r="C239" s="18" t="s">
        <v>8</v>
      </c>
      <c r="D239" s="19">
        <f t="shared" si="22"/>
        <v>0</v>
      </c>
      <c r="E239" s="20" t="s">
        <v>21</v>
      </c>
      <c r="F239" s="21">
        <f t="shared" si="23"/>
        <v>3</v>
      </c>
      <c r="G239" s="22" t="s">
        <v>10</v>
      </c>
      <c r="H239" s="23">
        <f t="shared" si="24"/>
        <v>1</v>
      </c>
      <c r="I239" s="24">
        <v>3</v>
      </c>
      <c r="J239" s="24">
        <v>35.83</v>
      </c>
      <c r="K239" s="25">
        <v>4.67</v>
      </c>
      <c r="L239" s="42">
        <f t="shared" si="25"/>
        <v>4.6204455819553347</v>
      </c>
      <c r="M239" s="42">
        <f t="shared" si="26"/>
        <v>4.9554418044665205E-2</v>
      </c>
      <c r="N239" s="42">
        <f t="shared" si="27"/>
        <v>2.4556403477454403E-3</v>
      </c>
      <c r="P239">
        <v>170</v>
      </c>
      <c r="Q239">
        <v>1.9971962117108328</v>
      </c>
      <c r="R239">
        <v>2.8037882891671639E-3</v>
      </c>
    </row>
    <row r="240" spans="1:18" x14ac:dyDescent="0.3">
      <c r="A240" s="16" t="s">
        <v>11</v>
      </c>
      <c r="B240" s="17">
        <f t="shared" si="21"/>
        <v>1</v>
      </c>
      <c r="C240" s="18" t="s">
        <v>8</v>
      </c>
      <c r="D240" s="19">
        <f t="shared" si="22"/>
        <v>0</v>
      </c>
      <c r="E240" s="20" t="s">
        <v>21</v>
      </c>
      <c r="F240" s="21">
        <f t="shared" si="23"/>
        <v>3</v>
      </c>
      <c r="G240" s="22" t="s">
        <v>10</v>
      </c>
      <c r="H240" s="23">
        <f t="shared" si="24"/>
        <v>1</v>
      </c>
      <c r="I240" s="24">
        <v>3</v>
      </c>
      <c r="J240" s="24">
        <v>29.03</v>
      </c>
      <c r="K240" s="25">
        <v>5.92</v>
      </c>
      <c r="L240" s="42">
        <f t="shared" si="25"/>
        <v>3.9428211406583524</v>
      </c>
      <c r="M240" s="42">
        <f t="shared" si="26"/>
        <v>1.9771788593416475</v>
      </c>
      <c r="N240" s="42">
        <f t="shared" si="27"/>
        <v>3.9092362418275384</v>
      </c>
      <c r="P240">
        <v>171</v>
      </c>
      <c r="Q240">
        <v>5.9230362451385243</v>
      </c>
      <c r="R240">
        <v>4.0769637548614757</v>
      </c>
    </row>
    <row r="241" spans="1:18" x14ac:dyDescent="0.3">
      <c r="A241" s="16" t="s">
        <v>7</v>
      </c>
      <c r="B241" s="17">
        <f t="shared" si="21"/>
        <v>0</v>
      </c>
      <c r="C241" s="18" t="s">
        <v>22</v>
      </c>
      <c r="D241" s="19">
        <f t="shared" si="22"/>
        <v>1</v>
      </c>
      <c r="E241" s="20" t="s">
        <v>21</v>
      </c>
      <c r="F241" s="21">
        <f t="shared" si="23"/>
        <v>3</v>
      </c>
      <c r="G241" s="22" t="s">
        <v>10</v>
      </c>
      <c r="H241" s="23">
        <f t="shared" si="24"/>
        <v>1</v>
      </c>
      <c r="I241" s="24">
        <v>2</v>
      </c>
      <c r="J241" s="24">
        <v>27.18</v>
      </c>
      <c r="K241" s="25">
        <v>2</v>
      </c>
      <c r="L241" s="42">
        <f t="shared" si="25"/>
        <v>3.6792165102280849</v>
      </c>
      <c r="M241" s="42">
        <f t="shared" si="26"/>
        <v>-1.6792165102280849</v>
      </c>
      <c r="N241" s="42">
        <f t="shared" si="27"/>
        <v>2.8197680882225882</v>
      </c>
      <c r="P241">
        <v>172</v>
      </c>
      <c r="Q241">
        <v>2.4488487233310154</v>
      </c>
      <c r="R241">
        <v>0.7111512766689847</v>
      </c>
    </row>
    <row r="242" spans="1:18" x14ac:dyDescent="0.3">
      <c r="A242" s="16" t="s">
        <v>11</v>
      </c>
      <c r="B242" s="17">
        <f t="shared" si="21"/>
        <v>1</v>
      </c>
      <c r="C242" s="18" t="s">
        <v>22</v>
      </c>
      <c r="D242" s="19">
        <f t="shared" si="22"/>
        <v>1</v>
      </c>
      <c r="E242" s="20" t="s">
        <v>21</v>
      </c>
      <c r="F242" s="21">
        <f t="shared" si="23"/>
        <v>3</v>
      </c>
      <c r="G242" s="22" t="s">
        <v>10</v>
      </c>
      <c r="H242" s="23">
        <f t="shared" si="24"/>
        <v>1</v>
      </c>
      <c r="I242" s="24">
        <v>2</v>
      </c>
      <c r="J242" s="24">
        <v>22.67</v>
      </c>
      <c r="K242" s="25">
        <v>2</v>
      </c>
      <c r="L242" s="42">
        <f t="shared" si="25"/>
        <v>3.2174555265421465</v>
      </c>
      <c r="M242" s="42">
        <f t="shared" si="26"/>
        <v>-1.2174555265421465</v>
      </c>
      <c r="N242" s="42">
        <f t="shared" si="27"/>
        <v>1.4821979591080152</v>
      </c>
      <c r="P242">
        <v>173</v>
      </c>
      <c r="Q242">
        <v>1.6949583090342404</v>
      </c>
      <c r="R242">
        <v>3.4550416909657597</v>
      </c>
    </row>
    <row r="243" spans="1:18" x14ac:dyDescent="0.3">
      <c r="A243" s="16" t="s">
        <v>11</v>
      </c>
      <c r="B243" s="17">
        <f t="shared" si="21"/>
        <v>1</v>
      </c>
      <c r="C243" s="18" t="s">
        <v>8</v>
      </c>
      <c r="D243" s="19">
        <f t="shared" si="22"/>
        <v>0</v>
      </c>
      <c r="E243" s="20" t="s">
        <v>21</v>
      </c>
      <c r="F243" s="21">
        <f t="shared" si="23"/>
        <v>3</v>
      </c>
      <c r="G243" s="22" t="s">
        <v>10</v>
      </c>
      <c r="H243" s="23">
        <f t="shared" si="24"/>
        <v>1</v>
      </c>
      <c r="I243" s="24">
        <v>2</v>
      </c>
      <c r="J243" s="24">
        <v>17.82</v>
      </c>
      <c r="K243" s="25">
        <v>1.75</v>
      </c>
      <c r="L243" s="42">
        <f t="shared" si="25"/>
        <v>2.8331217920859819</v>
      </c>
      <c r="M243" s="42">
        <f t="shared" si="26"/>
        <v>-1.0831217920859819</v>
      </c>
      <c r="N243" s="42">
        <f t="shared" si="27"/>
        <v>1.173152816491549</v>
      </c>
      <c r="P243">
        <v>174</v>
      </c>
      <c r="Q243">
        <v>4.0138408667773353</v>
      </c>
      <c r="R243">
        <v>-0.83384086677733515</v>
      </c>
    </row>
    <row r="244" spans="1:18" x14ac:dyDescent="0.3">
      <c r="A244" s="28" t="s">
        <v>7</v>
      </c>
      <c r="B244" s="29">
        <f t="shared" si="21"/>
        <v>0</v>
      </c>
      <c r="C244" s="30" t="s">
        <v>8</v>
      </c>
      <c r="D244" s="31">
        <f t="shared" si="22"/>
        <v>0</v>
      </c>
      <c r="E244" s="32" t="s">
        <v>23</v>
      </c>
      <c r="F244" s="33">
        <f t="shared" si="23"/>
        <v>1</v>
      </c>
      <c r="G244" s="34" t="s">
        <v>10</v>
      </c>
      <c r="H244" s="35">
        <f t="shared" si="24"/>
        <v>1</v>
      </c>
      <c r="I244" s="36">
        <v>2</v>
      </c>
      <c r="J244" s="36">
        <v>18.78</v>
      </c>
      <c r="K244" s="37">
        <v>3</v>
      </c>
      <c r="L244" s="42">
        <f t="shared" si="25"/>
        <v>2.6103185436214815</v>
      </c>
      <c r="M244" s="42">
        <f t="shared" si="26"/>
        <v>0.38968145637851848</v>
      </c>
      <c r="N244" s="42">
        <f t="shared" si="27"/>
        <v>0.15185163744528321</v>
      </c>
      <c r="P244">
        <v>175</v>
      </c>
      <c r="Q244">
        <v>2.5970601821074686</v>
      </c>
      <c r="R244">
        <v>1.4029398178925314</v>
      </c>
    </row>
    <row r="245" spans="1:18" x14ac:dyDescent="0.3">
      <c r="P245">
        <v>176</v>
      </c>
      <c r="Q245">
        <v>4.1128175613151505</v>
      </c>
      <c r="R245">
        <v>-1.0028175613151507</v>
      </c>
    </row>
    <row r="246" spans="1:18" x14ac:dyDescent="0.3">
      <c r="P246">
        <v>177</v>
      </c>
      <c r="Q246">
        <v>2.6979221470174326</v>
      </c>
      <c r="R246">
        <v>-0.6979221470174326</v>
      </c>
    </row>
    <row r="247" spans="1:18" x14ac:dyDescent="0.3">
      <c r="P247">
        <v>178</v>
      </c>
      <c r="Q247">
        <v>2.3764835485660525</v>
      </c>
      <c r="R247">
        <v>-0.37648354856605248</v>
      </c>
    </row>
    <row r="248" spans="1:18" x14ac:dyDescent="0.3">
      <c r="P248">
        <v>179</v>
      </c>
      <c r="Q248">
        <v>1.9531100925281024</v>
      </c>
      <c r="R248">
        <v>2.0468899074718978</v>
      </c>
    </row>
    <row r="249" spans="1:18" x14ac:dyDescent="0.3">
      <c r="P249">
        <v>180</v>
      </c>
      <c r="Q249">
        <v>4.2758934485060269</v>
      </c>
      <c r="R249">
        <v>-0.72589344850602711</v>
      </c>
    </row>
    <row r="250" spans="1:18" x14ac:dyDescent="0.3">
      <c r="P250">
        <v>181</v>
      </c>
      <c r="Q250">
        <v>4.627707459972191</v>
      </c>
      <c r="R250">
        <v>-0.94770745997219086</v>
      </c>
    </row>
    <row r="251" spans="1:18" x14ac:dyDescent="0.3">
      <c r="P251">
        <v>182</v>
      </c>
      <c r="Q251">
        <v>3.2107156882419217</v>
      </c>
      <c r="R251">
        <v>2.4392843117580787</v>
      </c>
    </row>
    <row r="252" spans="1:18" x14ac:dyDescent="0.3">
      <c r="P252">
        <v>183</v>
      </c>
      <c r="Q252">
        <v>5.461362738524822</v>
      </c>
      <c r="R252">
        <v>-1.961362738524822</v>
      </c>
    </row>
    <row r="253" spans="1:18" x14ac:dyDescent="0.3">
      <c r="P253">
        <v>184</v>
      </c>
      <c r="Q253">
        <v>3.5455622663587474</v>
      </c>
      <c r="R253">
        <v>2.9544377336412526</v>
      </c>
    </row>
    <row r="254" spans="1:18" x14ac:dyDescent="0.3">
      <c r="P254">
        <v>185</v>
      </c>
      <c r="Q254">
        <v>4.8339334786620878</v>
      </c>
      <c r="R254">
        <v>-1.8339334786620878</v>
      </c>
    </row>
    <row r="255" spans="1:18" x14ac:dyDescent="0.3">
      <c r="P255">
        <v>186</v>
      </c>
      <c r="Q255">
        <v>3.5595974415492302</v>
      </c>
      <c r="R255">
        <v>1.4404025584507698</v>
      </c>
    </row>
    <row r="256" spans="1:18" x14ac:dyDescent="0.3">
      <c r="P256">
        <v>187</v>
      </c>
      <c r="Q256">
        <v>3.1932522233392149</v>
      </c>
      <c r="R256">
        <v>0.30674777666078512</v>
      </c>
    </row>
    <row r="257" spans="16:18" x14ac:dyDescent="0.3">
      <c r="P257">
        <v>188</v>
      </c>
      <c r="Q257">
        <v>4.407707687554014</v>
      </c>
      <c r="R257">
        <v>-2.407707687554014</v>
      </c>
    </row>
    <row r="258" spans="16:18" x14ac:dyDescent="0.3">
      <c r="P258">
        <v>189</v>
      </c>
      <c r="Q258">
        <v>2.9340275471687471</v>
      </c>
      <c r="R258">
        <v>0.56597245283125286</v>
      </c>
    </row>
    <row r="259" spans="16:18" x14ac:dyDescent="0.3">
      <c r="P259">
        <v>190</v>
      </c>
      <c r="Q259">
        <v>3.3639994495092185</v>
      </c>
      <c r="R259">
        <v>0.63600055049078152</v>
      </c>
    </row>
    <row r="260" spans="16:18" x14ac:dyDescent="0.3">
      <c r="P260">
        <v>191</v>
      </c>
      <c r="Q260">
        <v>2.4905424060810581</v>
      </c>
      <c r="R260">
        <v>-0.99054240608105815</v>
      </c>
    </row>
    <row r="261" spans="16:18" x14ac:dyDescent="0.3">
      <c r="P261">
        <v>192</v>
      </c>
      <c r="Q261">
        <v>2.8725309642822774</v>
      </c>
      <c r="R261">
        <v>1.317469035717723</v>
      </c>
    </row>
    <row r="262" spans="16:18" x14ac:dyDescent="0.3">
      <c r="P262">
        <v>193</v>
      </c>
      <c r="Q262">
        <v>3.6493926150981384</v>
      </c>
      <c r="R262">
        <v>-1.0893926150981383</v>
      </c>
    </row>
    <row r="263" spans="16:18" x14ac:dyDescent="0.3">
      <c r="P263">
        <v>194</v>
      </c>
      <c r="Q263">
        <v>2.4277374139456782</v>
      </c>
      <c r="R263">
        <v>-0.4077374139456782</v>
      </c>
    </row>
    <row r="264" spans="16:18" x14ac:dyDescent="0.3">
      <c r="P264">
        <v>195</v>
      </c>
      <c r="Q264">
        <v>2.5314272844138652</v>
      </c>
      <c r="R264">
        <v>1.4685727155861348</v>
      </c>
    </row>
    <row r="265" spans="16:18" x14ac:dyDescent="0.3">
      <c r="P265">
        <v>196</v>
      </c>
      <c r="Q265">
        <v>1.7540146773646639</v>
      </c>
      <c r="R265">
        <v>-0.31401467736466393</v>
      </c>
    </row>
    <row r="266" spans="16:18" x14ac:dyDescent="0.3">
      <c r="P266">
        <v>197</v>
      </c>
      <c r="Q266">
        <v>1.9432229283034217</v>
      </c>
      <c r="R266">
        <v>5.6777071696578307E-2</v>
      </c>
    </row>
    <row r="267" spans="16:18" x14ac:dyDescent="0.3">
      <c r="P267">
        <v>198</v>
      </c>
      <c r="Q267">
        <v>5.4187996889297123</v>
      </c>
      <c r="R267">
        <v>-0.41879968892971231</v>
      </c>
    </row>
    <row r="268" spans="16:18" x14ac:dyDescent="0.3">
      <c r="P268">
        <v>199</v>
      </c>
      <c r="Q268">
        <v>2.2305964025655909</v>
      </c>
      <c r="R268">
        <v>-0.23059640256559089</v>
      </c>
    </row>
    <row r="269" spans="16:18" x14ac:dyDescent="0.3">
      <c r="P269">
        <v>200</v>
      </c>
      <c r="Q269">
        <v>2.2420382822890157</v>
      </c>
      <c r="R269">
        <v>-0.24203828228901569</v>
      </c>
    </row>
    <row r="270" spans="16:18" x14ac:dyDescent="0.3">
      <c r="P270">
        <v>201</v>
      </c>
      <c r="Q270">
        <v>2.9071729495947269</v>
      </c>
      <c r="R270">
        <v>1.0928270504052731</v>
      </c>
    </row>
    <row r="271" spans="16:18" x14ac:dyDescent="0.3">
      <c r="P271">
        <v>202</v>
      </c>
      <c r="Q271">
        <v>2.206087887727656</v>
      </c>
      <c r="R271">
        <v>-0.19608788772765617</v>
      </c>
    </row>
    <row r="272" spans="16:18" x14ac:dyDescent="0.3">
      <c r="P272">
        <v>203</v>
      </c>
      <c r="Q272">
        <v>2.5510923658308968</v>
      </c>
      <c r="R272">
        <v>-5.1092365830896824E-2</v>
      </c>
    </row>
    <row r="273" spans="16:18" x14ac:dyDescent="0.3">
      <c r="P273">
        <v>204</v>
      </c>
      <c r="Q273">
        <v>3.2536969240072811</v>
      </c>
      <c r="R273">
        <v>0.74630307599271895</v>
      </c>
    </row>
    <row r="274" spans="16:18" x14ac:dyDescent="0.3">
      <c r="P274">
        <v>205</v>
      </c>
      <c r="Q274">
        <v>2.7326551826804257</v>
      </c>
      <c r="R274">
        <v>0.49734481731957425</v>
      </c>
    </row>
    <row r="275" spans="16:18" x14ac:dyDescent="0.3">
      <c r="P275">
        <v>206</v>
      </c>
      <c r="Q275">
        <v>3.6399738244662578</v>
      </c>
      <c r="R275">
        <v>-0.22997382446625769</v>
      </c>
    </row>
    <row r="276" spans="16:18" x14ac:dyDescent="0.3">
      <c r="P276">
        <v>207</v>
      </c>
      <c r="Q276">
        <v>4.9592973109076226</v>
      </c>
      <c r="R276">
        <v>-1.9592973109076226</v>
      </c>
    </row>
    <row r="277" spans="16:18" x14ac:dyDescent="0.3">
      <c r="P277">
        <v>208</v>
      </c>
      <c r="Q277">
        <v>3.2463180907499822</v>
      </c>
      <c r="R277">
        <v>-1.2163180907499824</v>
      </c>
    </row>
    <row r="278" spans="16:18" x14ac:dyDescent="0.3">
      <c r="P278">
        <v>209</v>
      </c>
      <c r="Q278">
        <v>2.197977506344686</v>
      </c>
      <c r="R278">
        <v>3.2022493655313955E-2</v>
      </c>
    </row>
    <row r="279" spans="16:18" x14ac:dyDescent="0.3">
      <c r="P279">
        <v>210</v>
      </c>
      <c r="Q279">
        <v>3.9670682340340848</v>
      </c>
      <c r="R279">
        <v>-1.9670682340340848</v>
      </c>
    </row>
    <row r="280" spans="16:18" x14ac:dyDescent="0.3">
      <c r="P280">
        <v>211</v>
      </c>
      <c r="Q280">
        <v>3.7489537319880561</v>
      </c>
      <c r="R280">
        <v>1.411046268011944</v>
      </c>
    </row>
    <row r="281" spans="16:18" x14ac:dyDescent="0.3">
      <c r="P281">
        <v>212</v>
      </c>
      <c r="Q281">
        <v>5.9370714203290067</v>
      </c>
      <c r="R281">
        <v>3.0629285796709933</v>
      </c>
    </row>
    <row r="282" spans="16:18" x14ac:dyDescent="0.3">
      <c r="P282">
        <v>213</v>
      </c>
      <c r="Q282">
        <v>2.2460519008344821</v>
      </c>
      <c r="R282">
        <v>0.25394809916551786</v>
      </c>
    </row>
    <row r="283" spans="16:18" x14ac:dyDescent="0.3">
      <c r="P283">
        <v>214</v>
      </c>
      <c r="Q283">
        <v>3.8255426986323893</v>
      </c>
      <c r="R283">
        <v>2.6744573013676107</v>
      </c>
    </row>
    <row r="284" spans="16:18" x14ac:dyDescent="0.3">
      <c r="P284">
        <v>215</v>
      </c>
      <c r="Q284">
        <v>2.2111743989497281</v>
      </c>
      <c r="R284">
        <v>-1.111174398949728</v>
      </c>
    </row>
    <row r="285" spans="16:18" x14ac:dyDescent="0.3">
      <c r="P285">
        <v>216</v>
      </c>
      <c r="Q285">
        <v>4.1369536545878844</v>
      </c>
      <c r="R285">
        <v>-1.1369536545878844</v>
      </c>
    </row>
    <row r="286" spans="16:18" x14ac:dyDescent="0.3">
      <c r="P286">
        <v>217</v>
      </c>
      <c r="Q286">
        <v>2.0510566748076067</v>
      </c>
      <c r="R286">
        <v>-0.55105667480760667</v>
      </c>
    </row>
    <row r="287" spans="16:18" x14ac:dyDescent="0.3">
      <c r="P287">
        <v>218</v>
      </c>
      <c r="Q287">
        <v>1.6881421281689515</v>
      </c>
      <c r="R287">
        <v>-0.24814212816895154</v>
      </c>
    </row>
    <row r="288" spans="16:18" x14ac:dyDescent="0.3">
      <c r="P288">
        <v>219</v>
      </c>
      <c r="Q288">
        <v>4.1862062008360592</v>
      </c>
      <c r="R288">
        <v>-1.0962062008360594</v>
      </c>
    </row>
    <row r="289" spans="16:18" x14ac:dyDescent="0.3">
      <c r="P289">
        <v>220</v>
      </c>
      <c r="Q289">
        <v>2.1677878371519039</v>
      </c>
      <c r="R289">
        <v>3.2212162848096249E-2</v>
      </c>
    </row>
    <row r="290" spans="16:18" x14ac:dyDescent="0.3">
      <c r="P290">
        <v>221</v>
      </c>
      <c r="Q290">
        <v>2.3231923853636527</v>
      </c>
      <c r="R290">
        <v>1.1568076146363473</v>
      </c>
    </row>
    <row r="291" spans="16:18" x14ac:dyDescent="0.3">
      <c r="P291">
        <v>222</v>
      </c>
      <c r="Q291">
        <v>1.65536006999025</v>
      </c>
      <c r="R291">
        <v>0.26463993000974995</v>
      </c>
    </row>
    <row r="292" spans="16:18" x14ac:dyDescent="0.3">
      <c r="P292">
        <v>223</v>
      </c>
      <c r="Q292">
        <v>2.8123156943356484</v>
      </c>
      <c r="R292">
        <v>0.18768430566435157</v>
      </c>
    </row>
    <row r="293" spans="16:18" x14ac:dyDescent="0.3">
      <c r="P293">
        <v>224</v>
      </c>
      <c r="Q293">
        <v>2.2865598705972818</v>
      </c>
      <c r="R293">
        <v>-0.70655987059728176</v>
      </c>
    </row>
    <row r="294" spans="16:18" x14ac:dyDescent="0.3">
      <c r="P294">
        <v>225</v>
      </c>
      <c r="Q294">
        <v>2.5918434133948649</v>
      </c>
      <c r="R294">
        <v>-9.1843413394864903E-2</v>
      </c>
    </row>
    <row r="295" spans="16:18" x14ac:dyDescent="0.3">
      <c r="P295">
        <v>226</v>
      </c>
      <c r="Q295">
        <v>2.0092948684008678</v>
      </c>
      <c r="R295">
        <v>-9.2948684008677951E-3</v>
      </c>
    </row>
    <row r="296" spans="16:18" x14ac:dyDescent="0.3">
      <c r="P296">
        <v>227</v>
      </c>
      <c r="Q296">
        <v>3.3090045215534998</v>
      </c>
      <c r="R296">
        <v>-0.30900452155349978</v>
      </c>
    </row>
    <row r="297" spans="16:18" x14ac:dyDescent="0.3">
      <c r="P297">
        <v>228</v>
      </c>
      <c r="Q297">
        <v>2.2832063520441181</v>
      </c>
      <c r="R297">
        <v>0.43679364795588205</v>
      </c>
    </row>
    <row r="298" spans="16:18" x14ac:dyDescent="0.3">
      <c r="P298">
        <v>229</v>
      </c>
      <c r="Q298">
        <v>3.0802840405103513</v>
      </c>
      <c r="R298">
        <v>-0.20028404051035142</v>
      </c>
    </row>
    <row r="299" spans="16:18" x14ac:dyDescent="0.3">
      <c r="P299">
        <v>230</v>
      </c>
      <c r="Q299">
        <v>3.5717383170060639</v>
      </c>
      <c r="R299">
        <v>-1.5717383170060639</v>
      </c>
    </row>
    <row r="300" spans="16:18" x14ac:dyDescent="0.3">
      <c r="P300">
        <v>231</v>
      </c>
      <c r="Q300">
        <v>2.6125014716451305</v>
      </c>
      <c r="R300">
        <v>0.38749852835486953</v>
      </c>
    </row>
    <row r="301" spans="16:18" x14ac:dyDescent="0.3">
      <c r="P301">
        <v>232</v>
      </c>
      <c r="Q301">
        <v>2.1257862759696886</v>
      </c>
      <c r="R301">
        <v>1.2642137240303115</v>
      </c>
    </row>
    <row r="302" spans="16:18" x14ac:dyDescent="0.3">
      <c r="P302">
        <v>233</v>
      </c>
      <c r="Q302">
        <v>2.046604920339437</v>
      </c>
      <c r="R302">
        <v>-0.576604920339437</v>
      </c>
    </row>
    <row r="303" spans="16:18" x14ac:dyDescent="0.3">
      <c r="P303">
        <v>234</v>
      </c>
      <c r="Q303">
        <v>2.4224549381209313</v>
      </c>
      <c r="R303">
        <v>0.57754506187906873</v>
      </c>
    </row>
    <row r="304" spans="16:18" x14ac:dyDescent="0.3">
      <c r="P304">
        <v>235</v>
      </c>
      <c r="Q304">
        <v>1.980620457314227</v>
      </c>
      <c r="R304">
        <v>-0.73062045731422698</v>
      </c>
    </row>
    <row r="305" spans="16:18" x14ac:dyDescent="0.3">
      <c r="P305">
        <v>236</v>
      </c>
      <c r="Q305">
        <v>2.1462628286011238</v>
      </c>
      <c r="R305">
        <v>-1.1462628286011238</v>
      </c>
    </row>
    <row r="306" spans="16:18" x14ac:dyDescent="0.3">
      <c r="P306">
        <v>237</v>
      </c>
      <c r="Q306">
        <v>4.0532138100296935</v>
      </c>
      <c r="R306">
        <v>-2.8832138100296936</v>
      </c>
    </row>
    <row r="307" spans="16:18" x14ac:dyDescent="0.3">
      <c r="P307">
        <v>238</v>
      </c>
      <c r="Q307">
        <v>4.6204455819553338</v>
      </c>
      <c r="R307">
        <v>4.9554418044666093E-2</v>
      </c>
    </row>
    <row r="308" spans="16:18" x14ac:dyDescent="0.3">
      <c r="P308">
        <v>239</v>
      </c>
      <c r="Q308">
        <v>3.942821140658352</v>
      </c>
      <c r="R308">
        <v>1.9771788593416479</v>
      </c>
    </row>
    <row r="309" spans="16:18" x14ac:dyDescent="0.3">
      <c r="P309">
        <v>240</v>
      </c>
      <c r="Q309">
        <v>3.5572574446640122</v>
      </c>
      <c r="R309">
        <v>-1.5572574446640122</v>
      </c>
    </row>
    <row r="310" spans="16:18" x14ac:dyDescent="0.3">
      <c r="P310">
        <v>241</v>
      </c>
      <c r="Q310">
        <v>3.0954964609780742</v>
      </c>
      <c r="R310">
        <v>-1.0954964609780742</v>
      </c>
    </row>
    <row r="311" spans="16:18" x14ac:dyDescent="0.3">
      <c r="P311">
        <v>242</v>
      </c>
      <c r="Q311">
        <v>2.7111627265219091</v>
      </c>
      <c r="R311">
        <v>-0.96116272652190915</v>
      </c>
    </row>
    <row r="312" spans="16:18" ht="15" thickBot="1" x14ac:dyDescent="0.35">
      <c r="P312" s="38">
        <v>243</v>
      </c>
      <c r="Q312" s="38">
        <v>2.7322776091855543</v>
      </c>
      <c r="R312" s="38">
        <v>0.26772239081444571</v>
      </c>
    </row>
  </sheetData>
  <mergeCells count="1">
    <mergeCell ref="P39:X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EDAE-3F36-4C2D-984E-41575EBAFB38}">
  <dimension ref="A1:F244"/>
  <sheetViews>
    <sheetView topLeftCell="A218" workbookViewId="0">
      <selection activeCell="A15" sqref="A15"/>
    </sheetView>
  </sheetViews>
  <sheetFormatPr defaultRowHeight="14.4" x14ac:dyDescent="0.3"/>
  <cols>
    <col min="1" max="1" width="13.44140625"/>
  </cols>
  <sheetData>
    <row r="1" spans="1:6" ht="18" x14ac:dyDescent="0.35">
      <c r="A1" s="7" t="s">
        <v>32</v>
      </c>
      <c r="B1" s="9" t="s">
        <v>33</v>
      </c>
      <c r="C1" s="11" t="s">
        <v>34</v>
      </c>
      <c r="D1" s="13" t="s">
        <v>35</v>
      </c>
      <c r="E1" s="14" t="s">
        <v>4</v>
      </c>
      <c r="F1" s="14" t="s">
        <v>5</v>
      </c>
    </row>
    <row r="2" spans="1:6" x14ac:dyDescent="0.3">
      <c r="A2" s="17">
        <f>IF(tips!A2="Male",1,0)</f>
        <v>0</v>
      </c>
      <c r="B2" s="19">
        <f>IF(tips!C2="Yes",1,0)</f>
        <v>0</v>
      </c>
      <c r="C2" s="21">
        <f>IF(tips!E2="Thur",1,IF(tips!E2="Fri",2,IF(tips!E2="Sat",3,4)))</f>
        <v>4</v>
      </c>
      <c r="D2" s="23">
        <f>IF(tips!G2="Dinner",1,0)</f>
        <v>1</v>
      </c>
      <c r="E2" s="24">
        <v>2</v>
      </c>
      <c r="F2" s="24">
        <v>16.989999999999998</v>
      </c>
    </row>
    <row r="3" spans="1:6" x14ac:dyDescent="0.3">
      <c r="A3" s="17">
        <f>IF(tips!A3="Male",1,0)</f>
        <v>1</v>
      </c>
      <c r="B3" s="19">
        <f>IF(tips!C3="Yes",1,0)</f>
        <v>0</v>
      </c>
      <c r="C3" s="21">
        <f>IF(tips!E3="Thur",1,IF(tips!E3="Fri",2,IF(tips!E3="Sat",3,4)))</f>
        <v>4</v>
      </c>
      <c r="D3" s="23">
        <f>IF(tips!G3="Dinner",1,0)</f>
        <v>1</v>
      </c>
      <c r="E3" s="24">
        <v>3</v>
      </c>
      <c r="F3" s="24">
        <v>10.34</v>
      </c>
    </row>
    <row r="4" spans="1:6" x14ac:dyDescent="0.3">
      <c r="A4" s="17">
        <f>IF(tips!A4="Male",1,0)</f>
        <v>1</v>
      </c>
      <c r="B4" s="19">
        <f>IF(tips!C4="Yes",1,0)</f>
        <v>0</v>
      </c>
      <c r="C4" s="21">
        <f>IF(tips!E4="Thur",1,IF(tips!E4="Fri",2,IF(tips!E4="Sat",3,4)))</f>
        <v>4</v>
      </c>
      <c r="D4" s="23">
        <f>IF(tips!G4="Dinner",1,0)</f>
        <v>1</v>
      </c>
      <c r="E4" s="24">
        <v>3</v>
      </c>
      <c r="F4" s="24">
        <v>21.01</v>
      </c>
    </row>
    <row r="5" spans="1:6" x14ac:dyDescent="0.3">
      <c r="A5" s="17">
        <f>IF(tips!A5="Male",1,0)</f>
        <v>1</v>
      </c>
      <c r="B5" s="19">
        <f>IF(tips!C5="Yes",1,0)</f>
        <v>0</v>
      </c>
      <c r="C5" s="21">
        <f>IF(tips!E5="Thur",1,IF(tips!E5="Fri",2,IF(tips!E5="Sat",3,4)))</f>
        <v>4</v>
      </c>
      <c r="D5" s="23">
        <f>IF(tips!G5="Dinner",1,0)</f>
        <v>1</v>
      </c>
      <c r="E5" s="24">
        <v>2</v>
      </c>
      <c r="F5" s="24">
        <v>23.68</v>
      </c>
    </row>
    <row r="6" spans="1:6" x14ac:dyDescent="0.3">
      <c r="A6" s="17">
        <f>IF(tips!A6="Male",1,0)</f>
        <v>0</v>
      </c>
      <c r="B6" s="19">
        <f>IF(tips!C6="Yes",1,0)</f>
        <v>0</v>
      </c>
      <c r="C6" s="21">
        <f>IF(tips!E6="Thur",1,IF(tips!E6="Fri",2,IF(tips!E6="Sat",3,4)))</f>
        <v>4</v>
      </c>
      <c r="D6" s="23">
        <f>IF(tips!G6="Dinner",1,0)</f>
        <v>1</v>
      </c>
      <c r="E6" s="24">
        <v>4</v>
      </c>
      <c r="F6" s="24">
        <v>24.59</v>
      </c>
    </row>
    <row r="7" spans="1:6" x14ac:dyDescent="0.3">
      <c r="A7" s="17">
        <f>IF(tips!A7="Male",1,0)</f>
        <v>1</v>
      </c>
      <c r="B7" s="19">
        <f>IF(tips!C7="Yes",1,0)</f>
        <v>0</v>
      </c>
      <c r="C7" s="21">
        <f>IF(tips!E7="Thur",1,IF(tips!E7="Fri",2,IF(tips!E7="Sat",3,4)))</f>
        <v>4</v>
      </c>
      <c r="D7" s="23">
        <f>IF(tips!G7="Dinner",1,0)</f>
        <v>1</v>
      </c>
      <c r="E7" s="24">
        <v>4</v>
      </c>
      <c r="F7" s="24">
        <v>25.29</v>
      </c>
    </row>
    <row r="8" spans="1:6" x14ac:dyDescent="0.3">
      <c r="A8" s="17">
        <f>IF(tips!A8="Male",1,0)</f>
        <v>1</v>
      </c>
      <c r="B8" s="19">
        <f>IF(tips!C8="Yes",1,0)</f>
        <v>0</v>
      </c>
      <c r="C8" s="21">
        <f>IF(tips!E8="Thur",1,IF(tips!E8="Fri",2,IF(tips!E8="Sat",3,4)))</f>
        <v>4</v>
      </c>
      <c r="D8" s="23">
        <f>IF(tips!G8="Dinner",1,0)</f>
        <v>1</v>
      </c>
      <c r="E8" s="24">
        <v>2</v>
      </c>
      <c r="F8" s="24">
        <v>8.77</v>
      </c>
    </row>
    <row r="9" spans="1:6" x14ac:dyDescent="0.3">
      <c r="A9" s="17">
        <f>IF(tips!A9="Male",1,0)</f>
        <v>1</v>
      </c>
      <c r="B9" s="19">
        <f>IF(tips!C9="Yes",1,0)</f>
        <v>0</v>
      </c>
      <c r="C9" s="21">
        <f>IF(tips!E9="Thur",1,IF(tips!E9="Fri",2,IF(tips!E9="Sat",3,4)))</f>
        <v>4</v>
      </c>
      <c r="D9" s="23">
        <f>IF(tips!G9="Dinner",1,0)</f>
        <v>1</v>
      </c>
      <c r="E9" s="24">
        <v>4</v>
      </c>
      <c r="F9" s="24">
        <v>26.88</v>
      </c>
    </row>
    <row r="10" spans="1:6" x14ac:dyDescent="0.3">
      <c r="A10" s="17">
        <f>IF(tips!A10="Male",1,0)</f>
        <v>1</v>
      </c>
      <c r="B10" s="19">
        <f>IF(tips!C10="Yes",1,0)</f>
        <v>0</v>
      </c>
      <c r="C10" s="21">
        <f>IF(tips!E10="Thur",1,IF(tips!E10="Fri",2,IF(tips!E10="Sat",3,4)))</f>
        <v>4</v>
      </c>
      <c r="D10" s="23">
        <f>IF(tips!G10="Dinner",1,0)</f>
        <v>1</v>
      </c>
      <c r="E10" s="24">
        <v>2</v>
      </c>
      <c r="F10" s="24">
        <v>15.04</v>
      </c>
    </row>
    <row r="11" spans="1:6" x14ac:dyDescent="0.3">
      <c r="A11" s="17">
        <f>IF(tips!A11="Male",1,0)</f>
        <v>1</v>
      </c>
      <c r="B11" s="19">
        <f>IF(tips!C11="Yes",1,0)</f>
        <v>0</v>
      </c>
      <c r="C11" s="21">
        <f>IF(tips!E11="Thur",1,IF(tips!E11="Fri",2,IF(tips!E11="Sat",3,4)))</f>
        <v>4</v>
      </c>
      <c r="D11" s="23">
        <f>IF(tips!G11="Dinner",1,0)</f>
        <v>1</v>
      </c>
      <c r="E11" s="24">
        <v>2</v>
      </c>
      <c r="F11" s="24">
        <v>14.78</v>
      </c>
    </row>
    <row r="12" spans="1:6" x14ac:dyDescent="0.3">
      <c r="A12" s="17">
        <f>IF(tips!A12="Male",1,0)</f>
        <v>1</v>
      </c>
      <c r="B12" s="19">
        <f>IF(tips!C12="Yes",1,0)</f>
        <v>0</v>
      </c>
      <c r="C12" s="21">
        <f>IF(tips!E12="Thur",1,IF(tips!E12="Fri",2,IF(tips!E12="Sat",3,4)))</f>
        <v>4</v>
      </c>
      <c r="D12" s="23">
        <f>IF(tips!G12="Dinner",1,0)</f>
        <v>1</v>
      </c>
      <c r="E12" s="24">
        <v>2</v>
      </c>
      <c r="F12" s="24">
        <v>10.27</v>
      </c>
    </row>
    <row r="13" spans="1:6" x14ac:dyDescent="0.3">
      <c r="A13" s="17">
        <f>IF(tips!A13="Male",1,0)</f>
        <v>0</v>
      </c>
      <c r="B13" s="19">
        <f>IF(tips!C13="Yes",1,0)</f>
        <v>0</v>
      </c>
      <c r="C13" s="21">
        <f>IF(tips!E13="Thur",1,IF(tips!E13="Fri",2,IF(tips!E13="Sat",3,4)))</f>
        <v>4</v>
      </c>
      <c r="D13" s="23">
        <f>IF(tips!G13="Dinner",1,0)</f>
        <v>1</v>
      </c>
      <c r="E13" s="24">
        <v>4</v>
      </c>
      <c r="F13" s="24">
        <v>35.26</v>
      </c>
    </row>
    <row r="14" spans="1:6" x14ac:dyDescent="0.3">
      <c r="A14" s="17">
        <f>IF(tips!A14="Male",1,0)</f>
        <v>1</v>
      </c>
      <c r="B14" s="19">
        <f>IF(tips!C14="Yes",1,0)</f>
        <v>0</v>
      </c>
      <c r="C14" s="21">
        <f>IF(tips!E14="Thur",1,IF(tips!E14="Fri",2,IF(tips!E14="Sat",3,4)))</f>
        <v>4</v>
      </c>
      <c r="D14" s="23">
        <f>IF(tips!G14="Dinner",1,0)</f>
        <v>1</v>
      </c>
      <c r="E14" s="24">
        <v>2</v>
      </c>
      <c r="F14" s="24">
        <v>15.42</v>
      </c>
    </row>
    <row r="15" spans="1:6" x14ac:dyDescent="0.3">
      <c r="A15" s="17">
        <f>IF(tips!A15="Male",1,0)</f>
        <v>1</v>
      </c>
      <c r="B15" s="19">
        <f>IF(tips!C15="Yes",1,0)</f>
        <v>0</v>
      </c>
      <c r="C15" s="21">
        <f>IF(tips!E15="Thur",1,IF(tips!E15="Fri",2,IF(tips!E15="Sat",3,4)))</f>
        <v>4</v>
      </c>
      <c r="D15" s="23">
        <f>IF(tips!G15="Dinner",1,0)</f>
        <v>1</v>
      </c>
      <c r="E15" s="24">
        <v>4</v>
      </c>
      <c r="F15" s="24">
        <v>18.43</v>
      </c>
    </row>
    <row r="16" spans="1:6" x14ac:dyDescent="0.3">
      <c r="A16" s="17">
        <f>IF(tips!A16="Male",1,0)</f>
        <v>0</v>
      </c>
      <c r="B16" s="19">
        <f>IF(tips!C16="Yes",1,0)</f>
        <v>0</v>
      </c>
      <c r="C16" s="21">
        <f>IF(tips!E16="Thur",1,IF(tips!E16="Fri",2,IF(tips!E16="Sat",3,4)))</f>
        <v>4</v>
      </c>
      <c r="D16" s="23">
        <f>IF(tips!G16="Dinner",1,0)</f>
        <v>1</v>
      </c>
      <c r="E16" s="24">
        <v>2</v>
      </c>
      <c r="F16" s="24">
        <v>14.83</v>
      </c>
    </row>
    <row r="17" spans="1:6" x14ac:dyDescent="0.3">
      <c r="A17" s="17">
        <f>IF(tips!A17="Male",1,0)</f>
        <v>1</v>
      </c>
      <c r="B17" s="19">
        <f>IF(tips!C17="Yes",1,0)</f>
        <v>0</v>
      </c>
      <c r="C17" s="21">
        <f>IF(tips!E17="Thur",1,IF(tips!E17="Fri",2,IF(tips!E17="Sat",3,4)))</f>
        <v>4</v>
      </c>
      <c r="D17" s="23">
        <f>IF(tips!G17="Dinner",1,0)</f>
        <v>1</v>
      </c>
      <c r="E17" s="24">
        <v>2</v>
      </c>
      <c r="F17" s="24">
        <v>21.58</v>
      </c>
    </row>
    <row r="18" spans="1:6" x14ac:dyDescent="0.3">
      <c r="A18" s="17">
        <f>IF(tips!A18="Male",1,0)</f>
        <v>0</v>
      </c>
      <c r="B18" s="19">
        <f>IF(tips!C18="Yes",1,0)</f>
        <v>0</v>
      </c>
      <c r="C18" s="21">
        <f>IF(tips!E18="Thur",1,IF(tips!E18="Fri",2,IF(tips!E18="Sat",3,4)))</f>
        <v>4</v>
      </c>
      <c r="D18" s="23">
        <f>IF(tips!G18="Dinner",1,0)</f>
        <v>1</v>
      </c>
      <c r="E18" s="24">
        <v>3</v>
      </c>
      <c r="F18" s="24">
        <v>10.33</v>
      </c>
    </row>
    <row r="19" spans="1:6" x14ac:dyDescent="0.3">
      <c r="A19" s="17">
        <f>IF(tips!A19="Male",1,0)</f>
        <v>1</v>
      </c>
      <c r="B19" s="19">
        <f>IF(tips!C19="Yes",1,0)</f>
        <v>0</v>
      </c>
      <c r="C19" s="21">
        <f>IF(tips!E19="Thur",1,IF(tips!E19="Fri",2,IF(tips!E19="Sat",3,4)))</f>
        <v>4</v>
      </c>
      <c r="D19" s="23">
        <f>IF(tips!G19="Dinner",1,0)</f>
        <v>1</v>
      </c>
      <c r="E19" s="24">
        <v>3</v>
      </c>
      <c r="F19" s="24">
        <v>16.29</v>
      </c>
    </row>
    <row r="20" spans="1:6" x14ac:dyDescent="0.3">
      <c r="A20" s="17">
        <f>IF(tips!A20="Male",1,0)</f>
        <v>0</v>
      </c>
      <c r="B20" s="19">
        <f>IF(tips!C20="Yes",1,0)</f>
        <v>0</v>
      </c>
      <c r="C20" s="21">
        <f>IF(tips!E20="Thur",1,IF(tips!E20="Fri",2,IF(tips!E20="Sat",3,4)))</f>
        <v>4</v>
      </c>
      <c r="D20" s="23">
        <f>IF(tips!G20="Dinner",1,0)</f>
        <v>1</v>
      </c>
      <c r="E20" s="24">
        <v>3</v>
      </c>
      <c r="F20" s="24">
        <v>16.97</v>
      </c>
    </row>
    <row r="21" spans="1:6" x14ac:dyDescent="0.3">
      <c r="A21" s="17">
        <f>IF(tips!A21="Male",1,0)</f>
        <v>1</v>
      </c>
      <c r="B21" s="19">
        <f>IF(tips!C21="Yes",1,0)</f>
        <v>0</v>
      </c>
      <c r="C21" s="21">
        <f>IF(tips!E21="Thur",1,IF(tips!E21="Fri",2,IF(tips!E21="Sat",3,4)))</f>
        <v>3</v>
      </c>
      <c r="D21" s="23">
        <f>IF(tips!G21="Dinner",1,0)</f>
        <v>1</v>
      </c>
      <c r="E21" s="24">
        <v>3</v>
      </c>
      <c r="F21" s="24">
        <v>20.65</v>
      </c>
    </row>
    <row r="22" spans="1:6" x14ac:dyDescent="0.3">
      <c r="A22" s="17">
        <f>IF(tips!A22="Male",1,0)</f>
        <v>1</v>
      </c>
      <c r="B22" s="19">
        <f>IF(tips!C22="Yes",1,0)</f>
        <v>0</v>
      </c>
      <c r="C22" s="21">
        <f>IF(tips!E22="Thur",1,IF(tips!E22="Fri",2,IF(tips!E22="Sat",3,4)))</f>
        <v>3</v>
      </c>
      <c r="D22" s="23">
        <f>IF(tips!G22="Dinner",1,0)</f>
        <v>1</v>
      </c>
      <c r="E22" s="24">
        <v>2</v>
      </c>
      <c r="F22" s="24">
        <v>17.920000000000002</v>
      </c>
    </row>
    <row r="23" spans="1:6" x14ac:dyDescent="0.3">
      <c r="A23" s="17">
        <f>IF(tips!A23="Male",1,0)</f>
        <v>0</v>
      </c>
      <c r="B23" s="19">
        <f>IF(tips!C23="Yes",1,0)</f>
        <v>0</v>
      </c>
      <c r="C23" s="21">
        <f>IF(tips!E23="Thur",1,IF(tips!E23="Fri",2,IF(tips!E23="Sat",3,4)))</f>
        <v>3</v>
      </c>
      <c r="D23" s="23">
        <f>IF(tips!G23="Dinner",1,0)</f>
        <v>1</v>
      </c>
      <c r="E23" s="24">
        <v>2</v>
      </c>
      <c r="F23" s="24">
        <v>20.29</v>
      </c>
    </row>
    <row r="24" spans="1:6" x14ac:dyDescent="0.3">
      <c r="A24" s="17">
        <f>IF(tips!A24="Male",1,0)</f>
        <v>0</v>
      </c>
      <c r="B24" s="19">
        <f>IF(tips!C24="Yes",1,0)</f>
        <v>0</v>
      </c>
      <c r="C24" s="21">
        <f>IF(tips!E24="Thur",1,IF(tips!E24="Fri",2,IF(tips!E24="Sat",3,4)))</f>
        <v>3</v>
      </c>
      <c r="D24" s="23">
        <f>IF(tips!G24="Dinner",1,0)</f>
        <v>1</v>
      </c>
      <c r="E24" s="24">
        <v>2</v>
      </c>
      <c r="F24" s="24">
        <v>15.77</v>
      </c>
    </row>
    <row r="25" spans="1:6" x14ac:dyDescent="0.3">
      <c r="A25" s="17">
        <f>IF(tips!A25="Male",1,0)</f>
        <v>1</v>
      </c>
      <c r="B25" s="19">
        <f>IF(tips!C25="Yes",1,0)</f>
        <v>0</v>
      </c>
      <c r="C25" s="21">
        <f>IF(tips!E25="Thur",1,IF(tips!E25="Fri",2,IF(tips!E25="Sat",3,4)))</f>
        <v>3</v>
      </c>
      <c r="D25" s="23">
        <f>IF(tips!G25="Dinner",1,0)</f>
        <v>1</v>
      </c>
      <c r="E25" s="24">
        <v>4</v>
      </c>
      <c r="F25" s="24">
        <v>39.42</v>
      </c>
    </row>
    <row r="26" spans="1:6" x14ac:dyDescent="0.3">
      <c r="A26" s="17">
        <f>IF(tips!A26="Male",1,0)</f>
        <v>1</v>
      </c>
      <c r="B26" s="19">
        <f>IF(tips!C26="Yes",1,0)</f>
        <v>0</v>
      </c>
      <c r="C26" s="21">
        <f>IF(tips!E26="Thur",1,IF(tips!E26="Fri",2,IF(tips!E26="Sat",3,4)))</f>
        <v>3</v>
      </c>
      <c r="D26" s="23">
        <f>IF(tips!G26="Dinner",1,0)</f>
        <v>1</v>
      </c>
      <c r="E26" s="24">
        <v>2</v>
      </c>
      <c r="F26" s="24">
        <v>19.82</v>
      </c>
    </row>
    <row r="27" spans="1:6" x14ac:dyDescent="0.3">
      <c r="A27" s="17">
        <f>IF(tips!A27="Male",1,0)</f>
        <v>1</v>
      </c>
      <c r="B27" s="19">
        <f>IF(tips!C27="Yes",1,0)</f>
        <v>0</v>
      </c>
      <c r="C27" s="21">
        <f>IF(tips!E27="Thur",1,IF(tips!E27="Fri",2,IF(tips!E27="Sat",3,4)))</f>
        <v>3</v>
      </c>
      <c r="D27" s="23">
        <f>IF(tips!G27="Dinner",1,0)</f>
        <v>1</v>
      </c>
      <c r="E27" s="24">
        <v>4</v>
      </c>
      <c r="F27" s="24">
        <v>17.809999999999999</v>
      </c>
    </row>
    <row r="28" spans="1:6" x14ac:dyDescent="0.3">
      <c r="A28" s="17">
        <f>IF(tips!A28="Male",1,0)</f>
        <v>1</v>
      </c>
      <c r="B28" s="19">
        <f>IF(tips!C28="Yes",1,0)</f>
        <v>0</v>
      </c>
      <c r="C28" s="21">
        <f>IF(tips!E28="Thur",1,IF(tips!E28="Fri",2,IF(tips!E28="Sat",3,4)))</f>
        <v>3</v>
      </c>
      <c r="D28" s="23">
        <f>IF(tips!G28="Dinner",1,0)</f>
        <v>1</v>
      </c>
      <c r="E28" s="24">
        <v>2</v>
      </c>
      <c r="F28" s="24">
        <v>13.37</v>
      </c>
    </row>
    <row r="29" spans="1:6" x14ac:dyDescent="0.3">
      <c r="A29" s="17">
        <f>IF(tips!A29="Male",1,0)</f>
        <v>1</v>
      </c>
      <c r="B29" s="19">
        <f>IF(tips!C29="Yes",1,0)</f>
        <v>0</v>
      </c>
      <c r="C29" s="21">
        <f>IF(tips!E29="Thur",1,IF(tips!E29="Fri",2,IF(tips!E29="Sat",3,4)))</f>
        <v>3</v>
      </c>
      <c r="D29" s="23">
        <f>IF(tips!G29="Dinner",1,0)</f>
        <v>1</v>
      </c>
      <c r="E29" s="24">
        <v>2</v>
      </c>
      <c r="F29" s="24">
        <v>12.69</v>
      </c>
    </row>
    <row r="30" spans="1:6" x14ac:dyDescent="0.3">
      <c r="A30" s="17">
        <f>IF(tips!A30="Male",1,0)</f>
        <v>1</v>
      </c>
      <c r="B30" s="19">
        <f>IF(tips!C30="Yes",1,0)</f>
        <v>0</v>
      </c>
      <c r="C30" s="21">
        <f>IF(tips!E30="Thur",1,IF(tips!E30="Fri",2,IF(tips!E30="Sat",3,4)))</f>
        <v>3</v>
      </c>
      <c r="D30" s="23">
        <f>IF(tips!G30="Dinner",1,0)</f>
        <v>1</v>
      </c>
      <c r="E30" s="24">
        <v>2</v>
      </c>
      <c r="F30" s="24">
        <v>21.7</v>
      </c>
    </row>
    <row r="31" spans="1:6" x14ac:dyDescent="0.3">
      <c r="A31" s="17">
        <f>IF(tips!A31="Male",1,0)</f>
        <v>0</v>
      </c>
      <c r="B31" s="19">
        <f>IF(tips!C31="Yes",1,0)</f>
        <v>0</v>
      </c>
      <c r="C31" s="21">
        <f>IF(tips!E31="Thur",1,IF(tips!E31="Fri",2,IF(tips!E31="Sat",3,4)))</f>
        <v>3</v>
      </c>
      <c r="D31" s="23">
        <f>IF(tips!G31="Dinner",1,0)</f>
        <v>1</v>
      </c>
      <c r="E31" s="24">
        <v>2</v>
      </c>
      <c r="F31" s="24">
        <v>19.649999999999999</v>
      </c>
    </row>
    <row r="32" spans="1:6" x14ac:dyDescent="0.3">
      <c r="A32" s="17">
        <f>IF(tips!A32="Male",1,0)</f>
        <v>1</v>
      </c>
      <c r="B32" s="19">
        <f>IF(tips!C32="Yes",1,0)</f>
        <v>0</v>
      </c>
      <c r="C32" s="21">
        <f>IF(tips!E32="Thur",1,IF(tips!E32="Fri",2,IF(tips!E32="Sat",3,4)))</f>
        <v>3</v>
      </c>
      <c r="D32" s="23">
        <f>IF(tips!G32="Dinner",1,0)</f>
        <v>1</v>
      </c>
      <c r="E32" s="24">
        <v>2</v>
      </c>
      <c r="F32" s="24">
        <v>9.5500000000000007</v>
      </c>
    </row>
    <row r="33" spans="1:6" x14ac:dyDescent="0.3">
      <c r="A33" s="17">
        <f>IF(tips!A33="Male",1,0)</f>
        <v>1</v>
      </c>
      <c r="B33" s="19">
        <f>IF(tips!C33="Yes",1,0)</f>
        <v>0</v>
      </c>
      <c r="C33" s="21">
        <f>IF(tips!E33="Thur",1,IF(tips!E33="Fri",2,IF(tips!E33="Sat",3,4)))</f>
        <v>3</v>
      </c>
      <c r="D33" s="23">
        <f>IF(tips!G33="Dinner",1,0)</f>
        <v>1</v>
      </c>
      <c r="E33" s="24">
        <v>4</v>
      </c>
      <c r="F33" s="24">
        <v>18.350000000000001</v>
      </c>
    </row>
    <row r="34" spans="1:6" x14ac:dyDescent="0.3">
      <c r="A34" s="17">
        <f>IF(tips!A34="Male",1,0)</f>
        <v>0</v>
      </c>
      <c r="B34" s="19">
        <f>IF(tips!C34="Yes",1,0)</f>
        <v>0</v>
      </c>
      <c r="C34" s="21">
        <f>IF(tips!E34="Thur",1,IF(tips!E34="Fri",2,IF(tips!E34="Sat",3,4)))</f>
        <v>3</v>
      </c>
      <c r="D34" s="23">
        <f>IF(tips!G34="Dinner",1,0)</f>
        <v>1</v>
      </c>
      <c r="E34" s="24">
        <v>2</v>
      </c>
      <c r="F34" s="24">
        <v>15.06</v>
      </c>
    </row>
    <row r="35" spans="1:6" x14ac:dyDescent="0.3">
      <c r="A35" s="17">
        <f>IF(tips!A35="Male",1,0)</f>
        <v>0</v>
      </c>
      <c r="B35" s="19">
        <f>IF(tips!C35="Yes",1,0)</f>
        <v>0</v>
      </c>
      <c r="C35" s="21">
        <f>IF(tips!E35="Thur",1,IF(tips!E35="Fri",2,IF(tips!E35="Sat",3,4)))</f>
        <v>3</v>
      </c>
      <c r="D35" s="23">
        <f>IF(tips!G35="Dinner",1,0)</f>
        <v>1</v>
      </c>
      <c r="E35" s="24">
        <v>4</v>
      </c>
      <c r="F35" s="24">
        <v>20.69</v>
      </c>
    </row>
    <row r="36" spans="1:6" x14ac:dyDescent="0.3">
      <c r="A36" s="17">
        <f>IF(tips!A36="Male",1,0)</f>
        <v>1</v>
      </c>
      <c r="B36" s="19">
        <f>IF(tips!C36="Yes",1,0)</f>
        <v>0</v>
      </c>
      <c r="C36" s="21">
        <f>IF(tips!E36="Thur",1,IF(tips!E36="Fri",2,IF(tips!E36="Sat",3,4)))</f>
        <v>3</v>
      </c>
      <c r="D36" s="23">
        <f>IF(tips!G36="Dinner",1,0)</f>
        <v>1</v>
      </c>
      <c r="E36" s="24">
        <v>2</v>
      </c>
      <c r="F36" s="24">
        <v>17.78</v>
      </c>
    </row>
    <row r="37" spans="1:6" x14ac:dyDescent="0.3">
      <c r="A37" s="17">
        <f>IF(tips!A37="Male",1,0)</f>
        <v>1</v>
      </c>
      <c r="B37" s="19">
        <f>IF(tips!C37="Yes",1,0)</f>
        <v>0</v>
      </c>
      <c r="C37" s="21">
        <f>IF(tips!E37="Thur",1,IF(tips!E37="Fri",2,IF(tips!E37="Sat",3,4)))</f>
        <v>3</v>
      </c>
      <c r="D37" s="23">
        <f>IF(tips!G37="Dinner",1,0)</f>
        <v>1</v>
      </c>
      <c r="E37" s="24">
        <v>3</v>
      </c>
      <c r="F37" s="24">
        <v>24.06</v>
      </c>
    </row>
    <row r="38" spans="1:6" x14ac:dyDescent="0.3">
      <c r="A38" s="17">
        <f>IF(tips!A38="Male",1,0)</f>
        <v>1</v>
      </c>
      <c r="B38" s="19">
        <f>IF(tips!C38="Yes",1,0)</f>
        <v>0</v>
      </c>
      <c r="C38" s="21">
        <f>IF(tips!E38="Thur",1,IF(tips!E38="Fri",2,IF(tips!E38="Sat",3,4)))</f>
        <v>3</v>
      </c>
      <c r="D38" s="23">
        <f>IF(tips!G38="Dinner",1,0)</f>
        <v>1</v>
      </c>
      <c r="E38" s="24">
        <v>3</v>
      </c>
      <c r="F38" s="24">
        <v>16.309999999999999</v>
      </c>
    </row>
    <row r="39" spans="1:6" x14ac:dyDescent="0.3">
      <c r="A39" s="17">
        <f>IF(tips!A39="Male",1,0)</f>
        <v>0</v>
      </c>
      <c r="B39" s="19">
        <f>IF(tips!C39="Yes",1,0)</f>
        <v>0</v>
      </c>
      <c r="C39" s="21">
        <f>IF(tips!E39="Thur",1,IF(tips!E39="Fri",2,IF(tips!E39="Sat",3,4)))</f>
        <v>3</v>
      </c>
      <c r="D39" s="23">
        <f>IF(tips!G39="Dinner",1,0)</f>
        <v>1</v>
      </c>
      <c r="E39" s="24">
        <v>3</v>
      </c>
      <c r="F39" s="24">
        <v>16.93</v>
      </c>
    </row>
    <row r="40" spans="1:6" x14ac:dyDescent="0.3">
      <c r="A40" s="17">
        <f>IF(tips!A40="Male",1,0)</f>
        <v>1</v>
      </c>
      <c r="B40" s="19">
        <f>IF(tips!C40="Yes",1,0)</f>
        <v>0</v>
      </c>
      <c r="C40" s="21">
        <f>IF(tips!E40="Thur",1,IF(tips!E40="Fri",2,IF(tips!E40="Sat",3,4)))</f>
        <v>3</v>
      </c>
      <c r="D40" s="23">
        <f>IF(tips!G40="Dinner",1,0)</f>
        <v>1</v>
      </c>
      <c r="E40" s="24">
        <v>3</v>
      </c>
      <c r="F40" s="24">
        <v>18.690000000000001</v>
      </c>
    </row>
    <row r="41" spans="1:6" x14ac:dyDescent="0.3">
      <c r="A41" s="17">
        <f>IF(tips!A41="Male",1,0)</f>
        <v>1</v>
      </c>
      <c r="B41" s="19">
        <f>IF(tips!C41="Yes",1,0)</f>
        <v>0</v>
      </c>
      <c r="C41" s="21">
        <f>IF(tips!E41="Thur",1,IF(tips!E41="Fri",2,IF(tips!E41="Sat",3,4)))</f>
        <v>3</v>
      </c>
      <c r="D41" s="23">
        <f>IF(tips!G41="Dinner",1,0)</f>
        <v>1</v>
      </c>
      <c r="E41" s="24">
        <v>3</v>
      </c>
      <c r="F41" s="24">
        <v>31.27</v>
      </c>
    </row>
    <row r="42" spans="1:6" x14ac:dyDescent="0.3">
      <c r="A42" s="17">
        <f>IF(tips!A42="Male",1,0)</f>
        <v>1</v>
      </c>
      <c r="B42" s="19">
        <f>IF(tips!C42="Yes",1,0)</f>
        <v>0</v>
      </c>
      <c r="C42" s="21">
        <f>IF(tips!E42="Thur",1,IF(tips!E42="Fri",2,IF(tips!E42="Sat",3,4)))</f>
        <v>3</v>
      </c>
      <c r="D42" s="23">
        <f>IF(tips!G42="Dinner",1,0)</f>
        <v>1</v>
      </c>
      <c r="E42" s="24">
        <v>3</v>
      </c>
      <c r="F42" s="24">
        <v>16.04</v>
      </c>
    </row>
    <row r="43" spans="1:6" x14ac:dyDescent="0.3">
      <c r="A43" s="17">
        <f>IF(tips!A43="Male",1,0)</f>
        <v>1</v>
      </c>
      <c r="B43" s="19">
        <f>IF(tips!C43="Yes",1,0)</f>
        <v>0</v>
      </c>
      <c r="C43" s="21">
        <f>IF(tips!E43="Thur",1,IF(tips!E43="Fri",2,IF(tips!E43="Sat",3,4)))</f>
        <v>4</v>
      </c>
      <c r="D43" s="23">
        <f>IF(tips!G43="Dinner",1,0)</f>
        <v>1</v>
      </c>
      <c r="E43" s="24">
        <v>2</v>
      </c>
      <c r="F43" s="24">
        <v>17.46</v>
      </c>
    </row>
    <row r="44" spans="1:6" x14ac:dyDescent="0.3">
      <c r="A44" s="17">
        <f>IF(tips!A44="Male",1,0)</f>
        <v>1</v>
      </c>
      <c r="B44" s="19">
        <f>IF(tips!C44="Yes",1,0)</f>
        <v>0</v>
      </c>
      <c r="C44" s="21">
        <f>IF(tips!E44="Thur",1,IF(tips!E44="Fri",2,IF(tips!E44="Sat",3,4)))</f>
        <v>4</v>
      </c>
      <c r="D44" s="23">
        <f>IF(tips!G44="Dinner",1,0)</f>
        <v>1</v>
      </c>
      <c r="E44" s="24">
        <v>2</v>
      </c>
      <c r="F44" s="24">
        <v>13.94</v>
      </c>
    </row>
    <row r="45" spans="1:6" x14ac:dyDescent="0.3">
      <c r="A45" s="17">
        <f>IF(tips!A45="Male",1,0)</f>
        <v>1</v>
      </c>
      <c r="B45" s="19">
        <f>IF(tips!C45="Yes",1,0)</f>
        <v>0</v>
      </c>
      <c r="C45" s="21">
        <f>IF(tips!E45="Thur",1,IF(tips!E45="Fri",2,IF(tips!E45="Sat",3,4)))</f>
        <v>4</v>
      </c>
      <c r="D45" s="23">
        <f>IF(tips!G45="Dinner",1,0)</f>
        <v>1</v>
      </c>
      <c r="E45" s="24">
        <v>2</v>
      </c>
      <c r="F45" s="24">
        <v>9.68</v>
      </c>
    </row>
    <row r="46" spans="1:6" x14ac:dyDescent="0.3">
      <c r="A46" s="17">
        <f>IF(tips!A46="Male",1,0)</f>
        <v>1</v>
      </c>
      <c r="B46" s="19">
        <f>IF(tips!C46="Yes",1,0)</f>
        <v>0</v>
      </c>
      <c r="C46" s="21">
        <f>IF(tips!E46="Thur",1,IF(tips!E46="Fri",2,IF(tips!E46="Sat",3,4)))</f>
        <v>4</v>
      </c>
      <c r="D46" s="23">
        <f>IF(tips!G46="Dinner",1,0)</f>
        <v>1</v>
      </c>
      <c r="E46" s="24">
        <v>4</v>
      </c>
      <c r="F46" s="24">
        <v>30.4</v>
      </c>
    </row>
    <row r="47" spans="1:6" x14ac:dyDescent="0.3">
      <c r="A47" s="17">
        <f>IF(tips!A47="Male",1,0)</f>
        <v>1</v>
      </c>
      <c r="B47" s="19">
        <f>IF(tips!C47="Yes",1,0)</f>
        <v>0</v>
      </c>
      <c r="C47" s="21">
        <f>IF(tips!E47="Thur",1,IF(tips!E47="Fri",2,IF(tips!E47="Sat",3,4)))</f>
        <v>4</v>
      </c>
      <c r="D47" s="23">
        <f>IF(tips!G47="Dinner",1,0)</f>
        <v>1</v>
      </c>
      <c r="E47" s="24">
        <v>2</v>
      </c>
      <c r="F47" s="24">
        <v>18.29</v>
      </c>
    </row>
    <row r="48" spans="1:6" x14ac:dyDescent="0.3">
      <c r="A48" s="17">
        <f>IF(tips!A48="Male",1,0)</f>
        <v>1</v>
      </c>
      <c r="B48" s="19">
        <f>IF(tips!C48="Yes",1,0)</f>
        <v>0</v>
      </c>
      <c r="C48" s="21">
        <f>IF(tips!E48="Thur",1,IF(tips!E48="Fri",2,IF(tips!E48="Sat",3,4)))</f>
        <v>4</v>
      </c>
      <c r="D48" s="23">
        <f>IF(tips!G48="Dinner",1,0)</f>
        <v>1</v>
      </c>
      <c r="E48" s="24">
        <v>2</v>
      </c>
      <c r="F48" s="24">
        <v>22.23</v>
      </c>
    </row>
    <row r="49" spans="1:6" x14ac:dyDescent="0.3">
      <c r="A49" s="17">
        <f>IF(tips!A49="Male",1,0)</f>
        <v>1</v>
      </c>
      <c r="B49" s="19">
        <f>IF(tips!C49="Yes",1,0)</f>
        <v>0</v>
      </c>
      <c r="C49" s="21">
        <f>IF(tips!E49="Thur",1,IF(tips!E49="Fri",2,IF(tips!E49="Sat",3,4)))</f>
        <v>4</v>
      </c>
      <c r="D49" s="23">
        <f>IF(tips!G49="Dinner",1,0)</f>
        <v>1</v>
      </c>
      <c r="E49" s="24">
        <v>4</v>
      </c>
      <c r="F49" s="24">
        <v>32.4</v>
      </c>
    </row>
    <row r="50" spans="1:6" x14ac:dyDescent="0.3">
      <c r="A50" s="17">
        <f>IF(tips!A50="Male",1,0)</f>
        <v>1</v>
      </c>
      <c r="B50" s="19">
        <f>IF(tips!C50="Yes",1,0)</f>
        <v>0</v>
      </c>
      <c r="C50" s="21">
        <f>IF(tips!E50="Thur",1,IF(tips!E50="Fri",2,IF(tips!E50="Sat",3,4)))</f>
        <v>4</v>
      </c>
      <c r="D50" s="23">
        <f>IF(tips!G50="Dinner",1,0)</f>
        <v>1</v>
      </c>
      <c r="E50" s="24">
        <v>3</v>
      </c>
      <c r="F50" s="24">
        <v>28.55</v>
      </c>
    </row>
    <row r="51" spans="1:6" x14ac:dyDescent="0.3">
      <c r="A51" s="17">
        <f>IF(tips!A51="Male",1,0)</f>
        <v>1</v>
      </c>
      <c r="B51" s="19">
        <f>IF(tips!C51="Yes",1,0)</f>
        <v>0</v>
      </c>
      <c r="C51" s="21">
        <f>IF(tips!E51="Thur",1,IF(tips!E51="Fri",2,IF(tips!E51="Sat",3,4)))</f>
        <v>4</v>
      </c>
      <c r="D51" s="23">
        <f>IF(tips!G51="Dinner",1,0)</f>
        <v>1</v>
      </c>
      <c r="E51" s="24">
        <v>2</v>
      </c>
      <c r="F51" s="24">
        <v>18.04</v>
      </c>
    </row>
    <row r="52" spans="1:6" x14ac:dyDescent="0.3">
      <c r="A52" s="17">
        <f>IF(tips!A52="Male",1,0)</f>
        <v>1</v>
      </c>
      <c r="B52" s="19">
        <f>IF(tips!C52="Yes",1,0)</f>
        <v>0</v>
      </c>
      <c r="C52" s="21">
        <f>IF(tips!E52="Thur",1,IF(tips!E52="Fri",2,IF(tips!E52="Sat",3,4)))</f>
        <v>4</v>
      </c>
      <c r="D52" s="23">
        <f>IF(tips!G52="Dinner",1,0)</f>
        <v>1</v>
      </c>
      <c r="E52" s="24">
        <v>2</v>
      </c>
      <c r="F52" s="24">
        <v>12.54</v>
      </c>
    </row>
    <row r="53" spans="1:6" x14ac:dyDescent="0.3">
      <c r="A53" s="17">
        <f>IF(tips!A53="Male",1,0)</f>
        <v>0</v>
      </c>
      <c r="B53" s="19">
        <f>IF(tips!C53="Yes",1,0)</f>
        <v>0</v>
      </c>
      <c r="C53" s="21">
        <f>IF(tips!E53="Thur",1,IF(tips!E53="Fri",2,IF(tips!E53="Sat",3,4)))</f>
        <v>4</v>
      </c>
      <c r="D53" s="23">
        <f>IF(tips!G53="Dinner",1,0)</f>
        <v>1</v>
      </c>
      <c r="E53" s="24">
        <v>2</v>
      </c>
      <c r="F53" s="24">
        <v>10.29</v>
      </c>
    </row>
    <row r="54" spans="1:6" x14ac:dyDescent="0.3">
      <c r="A54" s="17">
        <f>IF(tips!A54="Male",1,0)</f>
        <v>0</v>
      </c>
      <c r="B54" s="19">
        <f>IF(tips!C54="Yes",1,0)</f>
        <v>0</v>
      </c>
      <c r="C54" s="21">
        <f>IF(tips!E54="Thur",1,IF(tips!E54="Fri",2,IF(tips!E54="Sat",3,4)))</f>
        <v>4</v>
      </c>
      <c r="D54" s="23">
        <f>IF(tips!G54="Dinner",1,0)</f>
        <v>1</v>
      </c>
      <c r="E54" s="24">
        <v>4</v>
      </c>
      <c r="F54" s="24">
        <v>34.81</v>
      </c>
    </row>
    <row r="55" spans="1:6" x14ac:dyDescent="0.3">
      <c r="A55" s="17">
        <f>IF(tips!A55="Male",1,0)</f>
        <v>1</v>
      </c>
      <c r="B55" s="19">
        <f>IF(tips!C55="Yes",1,0)</f>
        <v>0</v>
      </c>
      <c r="C55" s="21">
        <f>IF(tips!E55="Thur",1,IF(tips!E55="Fri",2,IF(tips!E55="Sat",3,4)))</f>
        <v>4</v>
      </c>
      <c r="D55" s="23">
        <f>IF(tips!G55="Dinner",1,0)</f>
        <v>1</v>
      </c>
      <c r="E55" s="24">
        <v>2</v>
      </c>
      <c r="F55" s="24">
        <v>9.94</v>
      </c>
    </row>
    <row r="56" spans="1:6" x14ac:dyDescent="0.3">
      <c r="A56" s="17">
        <f>IF(tips!A56="Male",1,0)</f>
        <v>1</v>
      </c>
      <c r="B56" s="19">
        <f>IF(tips!C56="Yes",1,0)</f>
        <v>0</v>
      </c>
      <c r="C56" s="21">
        <f>IF(tips!E56="Thur",1,IF(tips!E56="Fri",2,IF(tips!E56="Sat",3,4)))</f>
        <v>4</v>
      </c>
      <c r="D56" s="23">
        <f>IF(tips!G56="Dinner",1,0)</f>
        <v>1</v>
      </c>
      <c r="E56" s="24">
        <v>4</v>
      </c>
      <c r="F56" s="24">
        <v>25.56</v>
      </c>
    </row>
    <row r="57" spans="1:6" x14ac:dyDescent="0.3">
      <c r="A57" s="17">
        <f>IF(tips!A57="Male",1,0)</f>
        <v>1</v>
      </c>
      <c r="B57" s="19">
        <f>IF(tips!C57="Yes",1,0)</f>
        <v>0</v>
      </c>
      <c r="C57" s="21">
        <f>IF(tips!E57="Thur",1,IF(tips!E57="Fri",2,IF(tips!E57="Sat",3,4)))</f>
        <v>4</v>
      </c>
      <c r="D57" s="23">
        <f>IF(tips!G57="Dinner",1,0)</f>
        <v>1</v>
      </c>
      <c r="E57" s="24">
        <v>2</v>
      </c>
      <c r="F57" s="24">
        <v>19.489999999999998</v>
      </c>
    </row>
    <row r="58" spans="1:6" x14ac:dyDescent="0.3">
      <c r="A58" s="17">
        <f>IF(tips!A58="Male",1,0)</f>
        <v>1</v>
      </c>
      <c r="B58" s="19">
        <f>IF(tips!C58="Yes",1,0)</f>
        <v>1</v>
      </c>
      <c r="C58" s="21">
        <f>IF(tips!E58="Thur",1,IF(tips!E58="Fri",2,IF(tips!E58="Sat",3,4)))</f>
        <v>3</v>
      </c>
      <c r="D58" s="23">
        <f>IF(tips!G58="Dinner",1,0)</f>
        <v>1</v>
      </c>
      <c r="E58" s="24">
        <v>4</v>
      </c>
      <c r="F58" s="24">
        <v>38.01</v>
      </c>
    </row>
    <row r="59" spans="1:6" x14ac:dyDescent="0.3">
      <c r="A59" s="17">
        <f>IF(tips!A59="Male",1,0)</f>
        <v>0</v>
      </c>
      <c r="B59" s="19">
        <f>IF(tips!C59="Yes",1,0)</f>
        <v>0</v>
      </c>
      <c r="C59" s="21">
        <f>IF(tips!E59="Thur",1,IF(tips!E59="Fri",2,IF(tips!E59="Sat",3,4)))</f>
        <v>3</v>
      </c>
      <c r="D59" s="23">
        <f>IF(tips!G59="Dinner",1,0)</f>
        <v>1</v>
      </c>
      <c r="E59" s="24">
        <v>2</v>
      </c>
      <c r="F59" s="24">
        <v>26.41</v>
      </c>
    </row>
    <row r="60" spans="1:6" x14ac:dyDescent="0.3">
      <c r="A60" s="17">
        <f>IF(tips!A60="Male",1,0)</f>
        <v>1</v>
      </c>
      <c r="B60" s="19">
        <f>IF(tips!C60="Yes",1,0)</f>
        <v>1</v>
      </c>
      <c r="C60" s="21">
        <f>IF(tips!E60="Thur",1,IF(tips!E60="Fri",2,IF(tips!E60="Sat",3,4)))</f>
        <v>3</v>
      </c>
      <c r="D60" s="23">
        <f>IF(tips!G60="Dinner",1,0)</f>
        <v>1</v>
      </c>
      <c r="E60" s="24">
        <v>2</v>
      </c>
      <c r="F60" s="24">
        <v>11.24</v>
      </c>
    </row>
    <row r="61" spans="1:6" x14ac:dyDescent="0.3">
      <c r="A61" s="17">
        <f>IF(tips!A61="Male",1,0)</f>
        <v>1</v>
      </c>
      <c r="B61" s="19">
        <f>IF(tips!C61="Yes",1,0)</f>
        <v>0</v>
      </c>
      <c r="C61" s="21">
        <f>IF(tips!E61="Thur",1,IF(tips!E61="Fri",2,IF(tips!E61="Sat",3,4)))</f>
        <v>3</v>
      </c>
      <c r="D61" s="23">
        <f>IF(tips!G61="Dinner",1,0)</f>
        <v>1</v>
      </c>
      <c r="E61" s="24">
        <v>4</v>
      </c>
      <c r="F61" s="24">
        <v>48.27</v>
      </c>
    </row>
    <row r="62" spans="1:6" x14ac:dyDescent="0.3">
      <c r="A62" s="17">
        <f>IF(tips!A62="Male",1,0)</f>
        <v>1</v>
      </c>
      <c r="B62" s="19">
        <f>IF(tips!C62="Yes",1,0)</f>
        <v>1</v>
      </c>
      <c r="C62" s="21">
        <f>IF(tips!E62="Thur",1,IF(tips!E62="Fri",2,IF(tips!E62="Sat",3,4)))</f>
        <v>3</v>
      </c>
      <c r="D62" s="23">
        <f>IF(tips!G62="Dinner",1,0)</f>
        <v>1</v>
      </c>
      <c r="E62" s="24">
        <v>2</v>
      </c>
      <c r="F62" s="24">
        <v>20.29</v>
      </c>
    </row>
    <row r="63" spans="1:6" x14ac:dyDescent="0.3">
      <c r="A63" s="17">
        <f>IF(tips!A63="Male",1,0)</f>
        <v>1</v>
      </c>
      <c r="B63" s="19">
        <f>IF(tips!C63="Yes",1,0)</f>
        <v>1</v>
      </c>
      <c r="C63" s="21">
        <f>IF(tips!E63="Thur",1,IF(tips!E63="Fri",2,IF(tips!E63="Sat",3,4)))</f>
        <v>3</v>
      </c>
      <c r="D63" s="23">
        <f>IF(tips!G63="Dinner",1,0)</f>
        <v>1</v>
      </c>
      <c r="E63" s="24">
        <v>2</v>
      </c>
      <c r="F63" s="24">
        <v>13.81</v>
      </c>
    </row>
    <row r="64" spans="1:6" x14ac:dyDescent="0.3">
      <c r="A64" s="17">
        <f>IF(tips!A64="Male",1,0)</f>
        <v>1</v>
      </c>
      <c r="B64" s="19">
        <f>IF(tips!C64="Yes",1,0)</f>
        <v>1</v>
      </c>
      <c r="C64" s="21">
        <f>IF(tips!E64="Thur",1,IF(tips!E64="Fri",2,IF(tips!E64="Sat",3,4)))</f>
        <v>3</v>
      </c>
      <c r="D64" s="23">
        <f>IF(tips!G64="Dinner",1,0)</f>
        <v>1</v>
      </c>
      <c r="E64" s="24">
        <v>2</v>
      </c>
      <c r="F64" s="24">
        <v>11.02</v>
      </c>
    </row>
    <row r="65" spans="1:6" x14ac:dyDescent="0.3">
      <c r="A65" s="17">
        <f>IF(tips!A65="Male",1,0)</f>
        <v>1</v>
      </c>
      <c r="B65" s="19">
        <f>IF(tips!C65="Yes",1,0)</f>
        <v>1</v>
      </c>
      <c r="C65" s="21">
        <f>IF(tips!E65="Thur",1,IF(tips!E65="Fri",2,IF(tips!E65="Sat",3,4)))</f>
        <v>3</v>
      </c>
      <c r="D65" s="23">
        <f>IF(tips!G65="Dinner",1,0)</f>
        <v>1</v>
      </c>
      <c r="E65" s="24">
        <v>4</v>
      </c>
      <c r="F65" s="24">
        <v>18.29</v>
      </c>
    </row>
    <row r="66" spans="1:6" x14ac:dyDescent="0.3">
      <c r="A66" s="17">
        <f>IF(tips!A66="Male",1,0)</f>
        <v>1</v>
      </c>
      <c r="B66" s="19">
        <f>IF(tips!C66="Yes",1,0)</f>
        <v>0</v>
      </c>
      <c r="C66" s="21">
        <f>IF(tips!E66="Thur",1,IF(tips!E66="Fri",2,IF(tips!E66="Sat",3,4)))</f>
        <v>3</v>
      </c>
      <c r="D66" s="23">
        <f>IF(tips!G66="Dinner",1,0)</f>
        <v>1</v>
      </c>
      <c r="E66" s="24">
        <v>3</v>
      </c>
      <c r="F66" s="24">
        <v>17.59</v>
      </c>
    </row>
    <row r="67" spans="1:6" x14ac:dyDescent="0.3">
      <c r="A67" s="17">
        <f>IF(tips!A67="Male",1,0)</f>
        <v>1</v>
      </c>
      <c r="B67" s="19">
        <f>IF(tips!C67="Yes",1,0)</f>
        <v>0</v>
      </c>
      <c r="C67" s="21">
        <f>IF(tips!E67="Thur",1,IF(tips!E67="Fri",2,IF(tips!E67="Sat",3,4)))</f>
        <v>3</v>
      </c>
      <c r="D67" s="23">
        <f>IF(tips!G67="Dinner",1,0)</f>
        <v>1</v>
      </c>
      <c r="E67" s="24">
        <v>3</v>
      </c>
      <c r="F67" s="24">
        <v>20.079999999999998</v>
      </c>
    </row>
    <row r="68" spans="1:6" x14ac:dyDescent="0.3">
      <c r="A68" s="17">
        <f>IF(tips!A68="Male",1,0)</f>
        <v>0</v>
      </c>
      <c r="B68" s="19">
        <f>IF(tips!C68="Yes",1,0)</f>
        <v>0</v>
      </c>
      <c r="C68" s="21">
        <f>IF(tips!E68="Thur",1,IF(tips!E68="Fri",2,IF(tips!E68="Sat",3,4)))</f>
        <v>3</v>
      </c>
      <c r="D68" s="23">
        <f>IF(tips!G68="Dinner",1,0)</f>
        <v>1</v>
      </c>
      <c r="E68" s="24">
        <v>2</v>
      </c>
      <c r="F68" s="24">
        <v>16.45</v>
      </c>
    </row>
    <row r="69" spans="1:6" x14ac:dyDescent="0.3">
      <c r="A69" s="17">
        <f>IF(tips!A69="Male",1,0)</f>
        <v>0</v>
      </c>
      <c r="B69" s="19">
        <f>IF(tips!C69="Yes",1,0)</f>
        <v>1</v>
      </c>
      <c r="C69" s="21">
        <f>IF(tips!E69="Thur",1,IF(tips!E69="Fri",2,IF(tips!E69="Sat",3,4)))</f>
        <v>3</v>
      </c>
      <c r="D69" s="23">
        <f>IF(tips!G69="Dinner",1,0)</f>
        <v>1</v>
      </c>
      <c r="E69" s="24">
        <v>1</v>
      </c>
      <c r="F69" s="24">
        <v>3.07</v>
      </c>
    </row>
    <row r="70" spans="1:6" x14ac:dyDescent="0.3">
      <c r="A70" s="17">
        <f>IF(tips!A70="Male",1,0)</f>
        <v>1</v>
      </c>
      <c r="B70" s="19">
        <f>IF(tips!C70="Yes",1,0)</f>
        <v>0</v>
      </c>
      <c r="C70" s="21">
        <f>IF(tips!E70="Thur",1,IF(tips!E70="Fri",2,IF(tips!E70="Sat",3,4)))</f>
        <v>3</v>
      </c>
      <c r="D70" s="23">
        <f>IF(tips!G70="Dinner",1,0)</f>
        <v>1</v>
      </c>
      <c r="E70" s="24">
        <v>2</v>
      </c>
      <c r="F70" s="24">
        <v>20.23</v>
      </c>
    </row>
    <row r="71" spans="1:6" x14ac:dyDescent="0.3">
      <c r="A71" s="17">
        <f>IF(tips!A71="Male",1,0)</f>
        <v>1</v>
      </c>
      <c r="B71" s="19">
        <f>IF(tips!C71="Yes",1,0)</f>
        <v>1</v>
      </c>
      <c r="C71" s="21">
        <f>IF(tips!E71="Thur",1,IF(tips!E71="Fri",2,IF(tips!E71="Sat",3,4)))</f>
        <v>3</v>
      </c>
      <c r="D71" s="23">
        <f>IF(tips!G71="Dinner",1,0)</f>
        <v>1</v>
      </c>
      <c r="E71" s="24">
        <v>2</v>
      </c>
      <c r="F71" s="24">
        <v>15.01</v>
      </c>
    </row>
    <row r="72" spans="1:6" x14ac:dyDescent="0.3">
      <c r="A72" s="17">
        <f>IF(tips!A72="Male",1,0)</f>
        <v>1</v>
      </c>
      <c r="B72" s="19">
        <f>IF(tips!C72="Yes",1,0)</f>
        <v>0</v>
      </c>
      <c r="C72" s="21">
        <f>IF(tips!E72="Thur",1,IF(tips!E72="Fri",2,IF(tips!E72="Sat",3,4)))</f>
        <v>3</v>
      </c>
      <c r="D72" s="23">
        <f>IF(tips!G72="Dinner",1,0)</f>
        <v>1</v>
      </c>
      <c r="E72" s="24">
        <v>2</v>
      </c>
      <c r="F72" s="24">
        <v>12.02</v>
      </c>
    </row>
    <row r="73" spans="1:6" x14ac:dyDescent="0.3">
      <c r="A73" s="17">
        <f>IF(tips!A73="Male",1,0)</f>
        <v>0</v>
      </c>
      <c r="B73" s="19">
        <f>IF(tips!C73="Yes",1,0)</f>
        <v>0</v>
      </c>
      <c r="C73" s="21">
        <f>IF(tips!E73="Thur",1,IF(tips!E73="Fri",2,IF(tips!E73="Sat",3,4)))</f>
        <v>3</v>
      </c>
      <c r="D73" s="23">
        <f>IF(tips!G73="Dinner",1,0)</f>
        <v>1</v>
      </c>
      <c r="E73" s="24">
        <v>3</v>
      </c>
      <c r="F73" s="24">
        <v>17.07</v>
      </c>
    </row>
    <row r="74" spans="1:6" x14ac:dyDescent="0.3">
      <c r="A74" s="17">
        <f>IF(tips!A74="Male",1,0)</f>
        <v>0</v>
      </c>
      <c r="B74" s="19">
        <f>IF(tips!C74="Yes",1,0)</f>
        <v>1</v>
      </c>
      <c r="C74" s="21">
        <f>IF(tips!E74="Thur",1,IF(tips!E74="Fri",2,IF(tips!E74="Sat",3,4)))</f>
        <v>3</v>
      </c>
      <c r="D74" s="23">
        <f>IF(tips!G74="Dinner",1,0)</f>
        <v>1</v>
      </c>
      <c r="E74" s="24">
        <v>2</v>
      </c>
      <c r="F74" s="24">
        <v>26.86</v>
      </c>
    </row>
    <row r="75" spans="1:6" x14ac:dyDescent="0.3">
      <c r="A75" s="17">
        <f>IF(tips!A75="Male",1,0)</f>
        <v>0</v>
      </c>
      <c r="B75" s="19">
        <f>IF(tips!C75="Yes",1,0)</f>
        <v>1</v>
      </c>
      <c r="C75" s="21">
        <f>IF(tips!E75="Thur",1,IF(tips!E75="Fri",2,IF(tips!E75="Sat",3,4)))</f>
        <v>3</v>
      </c>
      <c r="D75" s="23">
        <f>IF(tips!G75="Dinner",1,0)</f>
        <v>1</v>
      </c>
      <c r="E75" s="24">
        <v>2</v>
      </c>
      <c r="F75" s="24">
        <v>25.28</v>
      </c>
    </row>
    <row r="76" spans="1:6" x14ac:dyDescent="0.3">
      <c r="A76" s="17">
        <f>IF(tips!A76="Male",1,0)</f>
        <v>0</v>
      </c>
      <c r="B76" s="19">
        <f>IF(tips!C76="Yes",1,0)</f>
        <v>0</v>
      </c>
      <c r="C76" s="21">
        <f>IF(tips!E76="Thur",1,IF(tips!E76="Fri",2,IF(tips!E76="Sat",3,4)))</f>
        <v>3</v>
      </c>
      <c r="D76" s="23">
        <f>IF(tips!G76="Dinner",1,0)</f>
        <v>1</v>
      </c>
      <c r="E76" s="24">
        <v>2</v>
      </c>
      <c r="F76" s="24">
        <v>14.73</v>
      </c>
    </row>
    <row r="77" spans="1:6" x14ac:dyDescent="0.3">
      <c r="A77" s="17">
        <f>IF(tips!A77="Male",1,0)</f>
        <v>1</v>
      </c>
      <c r="B77" s="19">
        <f>IF(tips!C77="Yes",1,0)</f>
        <v>0</v>
      </c>
      <c r="C77" s="21">
        <f>IF(tips!E77="Thur",1,IF(tips!E77="Fri",2,IF(tips!E77="Sat",3,4)))</f>
        <v>3</v>
      </c>
      <c r="D77" s="23">
        <f>IF(tips!G77="Dinner",1,0)</f>
        <v>1</v>
      </c>
      <c r="E77" s="24">
        <v>2</v>
      </c>
      <c r="F77" s="24">
        <v>10.51</v>
      </c>
    </row>
    <row r="78" spans="1:6" x14ac:dyDescent="0.3">
      <c r="A78" s="17">
        <f>IF(tips!A78="Male",1,0)</f>
        <v>1</v>
      </c>
      <c r="B78" s="19">
        <f>IF(tips!C78="Yes",1,0)</f>
        <v>1</v>
      </c>
      <c r="C78" s="21">
        <f>IF(tips!E78="Thur",1,IF(tips!E78="Fri",2,IF(tips!E78="Sat",3,4)))</f>
        <v>3</v>
      </c>
      <c r="D78" s="23">
        <f>IF(tips!G78="Dinner",1,0)</f>
        <v>1</v>
      </c>
      <c r="E78" s="24">
        <v>2</v>
      </c>
      <c r="F78" s="24">
        <v>17.920000000000002</v>
      </c>
    </row>
    <row r="79" spans="1:6" x14ac:dyDescent="0.3">
      <c r="A79" s="17">
        <f>IF(tips!A79="Male",1,0)</f>
        <v>1</v>
      </c>
      <c r="B79" s="19">
        <f>IF(tips!C79="Yes",1,0)</f>
        <v>0</v>
      </c>
      <c r="C79" s="21">
        <f>IF(tips!E79="Thur",1,IF(tips!E79="Fri",2,IF(tips!E79="Sat",3,4)))</f>
        <v>1</v>
      </c>
      <c r="D79" s="23">
        <f>IF(tips!G79="Dinner",1,0)</f>
        <v>0</v>
      </c>
      <c r="E79" s="24">
        <v>4</v>
      </c>
      <c r="F79" s="24">
        <v>27.2</v>
      </c>
    </row>
    <row r="80" spans="1:6" x14ac:dyDescent="0.3">
      <c r="A80" s="17">
        <f>IF(tips!A80="Male",1,0)</f>
        <v>1</v>
      </c>
      <c r="B80" s="19">
        <f>IF(tips!C80="Yes",1,0)</f>
        <v>0</v>
      </c>
      <c r="C80" s="21">
        <f>IF(tips!E80="Thur",1,IF(tips!E80="Fri",2,IF(tips!E80="Sat",3,4)))</f>
        <v>1</v>
      </c>
      <c r="D80" s="23">
        <f>IF(tips!G80="Dinner",1,0)</f>
        <v>0</v>
      </c>
      <c r="E80" s="24">
        <v>2</v>
      </c>
      <c r="F80" s="24">
        <v>22.76</v>
      </c>
    </row>
    <row r="81" spans="1:6" x14ac:dyDescent="0.3">
      <c r="A81" s="17">
        <f>IF(tips!A81="Male",1,0)</f>
        <v>1</v>
      </c>
      <c r="B81" s="19">
        <f>IF(tips!C81="Yes",1,0)</f>
        <v>0</v>
      </c>
      <c r="C81" s="21">
        <f>IF(tips!E81="Thur",1,IF(tips!E81="Fri",2,IF(tips!E81="Sat",3,4)))</f>
        <v>1</v>
      </c>
      <c r="D81" s="23">
        <f>IF(tips!G81="Dinner",1,0)</f>
        <v>0</v>
      </c>
      <c r="E81" s="24">
        <v>2</v>
      </c>
      <c r="F81" s="24">
        <v>17.29</v>
      </c>
    </row>
    <row r="82" spans="1:6" x14ac:dyDescent="0.3">
      <c r="A82" s="17">
        <f>IF(tips!A82="Male",1,0)</f>
        <v>1</v>
      </c>
      <c r="B82" s="19">
        <f>IF(tips!C82="Yes",1,0)</f>
        <v>1</v>
      </c>
      <c r="C82" s="21">
        <f>IF(tips!E82="Thur",1,IF(tips!E82="Fri",2,IF(tips!E82="Sat",3,4)))</f>
        <v>1</v>
      </c>
      <c r="D82" s="23">
        <f>IF(tips!G82="Dinner",1,0)</f>
        <v>0</v>
      </c>
      <c r="E82" s="24">
        <v>2</v>
      </c>
      <c r="F82" s="24">
        <v>19.440000000000001</v>
      </c>
    </row>
    <row r="83" spans="1:6" x14ac:dyDescent="0.3">
      <c r="A83" s="17">
        <f>IF(tips!A83="Male",1,0)</f>
        <v>1</v>
      </c>
      <c r="B83" s="19">
        <f>IF(tips!C83="Yes",1,0)</f>
        <v>0</v>
      </c>
      <c r="C83" s="21">
        <f>IF(tips!E83="Thur",1,IF(tips!E83="Fri",2,IF(tips!E83="Sat",3,4)))</f>
        <v>1</v>
      </c>
      <c r="D83" s="23">
        <f>IF(tips!G83="Dinner",1,0)</f>
        <v>0</v>
      </c>
      <c r="E83" s="24">
        <v>2</v>
      </c>
      <c r="F83" s="24">
        <v>16.66</v>
      </c>
    </row>
    <row r="84" spans="1:6" x14ac:dyDescent="0.3">
      <c r="A84" s="17">
        <f>IF(tips!A84="Male",1,0)</f>
        <v>0</v>
      </c>
      <c r="B84" s="19">
        <f>IF(tips!C84="Yes",1,0)</f>
        <v>0</v>
      </c>
      <c r="C84" s="21">
        <f>IF(tips!E84="Thur",1,IF(tips!E84="Fri",2,IF(tips!E84="Sat",3,4)))</f>
        <v>1</v>
      </c>
      <c r="D84" s="23">
        <f>IF(tips!G84="Dinner",1,0)</f>
        <v>0</v>
      </c>
      <c r="E84" s="24">
        <v>1</v>
      </c>
      <c r="F84" s="24">
        <v>10.07</v>
      </c>
    </row>
    <row r="85" spans="1:6" x14ac:dyDescent="0.3">
      <c r="A85" s="17">
        <f>IF(tips!A85="Male",1,0)</f>
        <v>1</v>
      </c>
      <c r="B85" s="19">
        <f>IF(tips!C85="Yes",1,0)</f>
        <v>1</v>
      </c>
      <c r="C85" s="21">
        <f>IF(tips!E85="Thur",1,IF(tips!E85="Fri",2,IF(tips!E85="Sat",3,4)))</f>
        <v>1</v>
      </c>
      <c r="D85" s="23">
        <f>IF(tips!G85="Dinner",1,0)</f>
        <v>0</v>
      </c>
      <c r="E85" s="24">
        <v>2</v>
      </c>
      <c r="F85" s="24">
        <v>32.68</v>
      </c>
    </row>
    <row r="86" spans="1:6" x14ac:dyDescent="0.3">
      <c r="A86" s="17">
        <f>IF(tips!A86="Male",1,0)</f>
        <v>1</v>
      </c>
      <c r="B86" s="19">
        <f>IF(tips!C86="Yes",1,0)</f>
        <v>0</v>
      </c>
      <c r="C86" s="21">
        <f>IF(tips!E86="Thur",1,IF(tips!E86="Fri",2,IF(tips!E86="Sat",3,4)))</f>
        <v>1</v>
      </c>
      <c r="D86" s="23">
        <f>IF(tips!G86="Dinner",1,0)</f>
        <v>0</v>
      </c>
      <c r="E86" s="24">
        <v>2</v>
      </c>
      <c r="F86" s="24">
        <v>15.98</v>
      </c>
    </row>
    <row r="87" spans="1:6" x14ac:dyDescent="0.3">
      <c r="A87" s="17">
        <f>IF(tips!A87="Male",1,0)</f>
        <v>0</v>
      </c>
      <c r="B87" s="19">
        <f>IF(tips!C87="Yes",1,0)</f>
        <v>0</v>
      </c>
      <c r="C87" s="21">
        <f>IF(tips!E87="Thur",1,IF(tips!E87="Fri",2,IF(tips!E87="Sat",3,4)))</f>
        <v>1</v>
      </c>
      <c r="D87" s="23">
        <f>IF(tips!G87="Dinner",1,0)</f>
        <v>0</v>
      </c>
      <c r="E87" s="24">
        <v>4</v>
      </c>
      <c r="F87" s="24">
        <v>34.83</v>
      </c>
    </row>
    <row r="88" spans="1:6" x14ac:dyDescent="0.3">
      <c r="A88" s="17">
        <f>IF(tips!A88="Male",1,0)</f>
        <v>1</v>
      </c>
      <c r="B88" s="19">
        <f>IF(tips!C88="Yes",1,0)</f>
        <v>0</v>
      </c>
      <c r="C88" s="21">
        <f>IF(tips!E88="Thur",1,IF(tips!E88="Fri",2,IF(tips!E88="Sat",3,4)))</f>
        <v>1</v>
      </c>
      <c r="D88" s="23">
        <f>IF(tips!G88="Dinner",1,0)</f>
        <v>0</v>
      </c>
      <c r="E88" s="24">
        <v>2</v>
      </c>
      <c r="F88" s="24">
        <v>13.03</v>
      </c>
    </row>
    <row r="89" spans="1:6" x14ac:dyDescent="0.3">
      <c r="A89" s="17">
        <f>IF(tips!A89="Male",1,0)</f>
        <v>1</v>
      </c>
      <c r="B89" s="19">
        <f>IF(tips!C89="Yes",1,0)</f>
        <v>0</v>
      </c>
      <c r="C89" s="21">
        <f>IF(tips!E89="Thur",1,IF(tips!E89="Fri",2,IF(tips!E89="Sat",3,4)))</f>
        <v>1</v>
      </c>
      <c r="D89" s="23">
        <f>IF(tips!G89="Dinner",1,0)</f>
        <v>0</v>
      </c>
      <c r="E89" s="24">
        <v>2</v>
      </c>
      <c r="F89" s="24">
        <v>18.28</v>
      </c>
    </row>
    <row r="90" spans="1:6" x14ac:dyDescent="0.3">
      <c r="A90" s="17">
        <f>IF(tips!A90="Male",1,0)</f>
        <v>1</v>
      </c>
      <c r="B90" s="19">
        <f>IF(tips!C90="Yes",1,0)</f>
        <v>0</v>
      </c>
      <c r="C90" s="21">
        <f>IF(tips!E90="Thur",1,IF(tips!E90="Fri",2,IF(tips!E90="Sat",3,4)))</f>
        <v>1</v>
      </c>
      <c r="D90" s="23">
        <f>IF(tips!G90="Dinner",1,0)</f>
        <v>0</v>
      </c>
      <c r="E90" s="24">
        <v>2</v>
      </c>
      <c r="F90" s="24">
        <v>24.71</v>
      </c>
    </row>
    <row r="91" spans="1:6" x14ac:dyDescent="0.3">
      <c r="A91" s="17">
        <f>IF(tips!A91="Male",1,0)</f>
        <v>1</v>
      </c>
      <c r="B91" s="19">
        <f>IF(tips!C91="Yes",1,0)</f>
        <v>0</v>
      </c>
      <c r="C91" s="21">
        <f>IF(tips!E91="Thur",1,IF(tips!E91="Fri",2,IF(tips!E91="Sat",3,4)))</f>
        <v>1</v>
      </c>
      <c r="D91" s="23">
        <f>IF(tips!G91="Dinner",1,0)</f>
        <v>0</v>
      </c>
      <c r="E91" s="24">
        <v>2</v>
      </c>
      <c r="F91" s="24">
        <v>21.16</v>
      </c>
    </row>
    <row r="92" spans="1:6" x14ac:dyDescent="0.3">
      <c r="A92" s="17">
        <f>IF(tips!A92="Male",1,0)</f>
        <v>1</v>
      </c>
      <c r="B92" s="19">
        <f>IF(tips!C92="Yes",1,0)</f>
        <v>1</v>
      </c>
      <c r="C92" s="21">
        <f>IF(tips!E92="Thur",1,IF(tips!E92="Fri",2,IF(tips!E92="Sat",3,4)))</f>
        <v>2</v>
      </c>
      <c r="D92" s="23">
        <f>IF(tips!G92="Dinner",1,0)</f>
        <v>1</v>
      </c>
      <c r="E92" s="24">
        <v>2</v>
      </c>
      <c r="F92" s="24">
        <v>28.97</v>
      </c>
    </row>
    <row r="93" spans="1:6" x14ac:dyDescent="0.3">
      <c r="A93" s="17">
        <f>IF(tips!A93="Male",1,0)</f>
        <v>1</v>
      </c>
      <c r="B93" s="19">
        <f>IF(tips!C93="Yes",1,0)</f>
        <v>0</v>
      </c>
      <c r="C93" s="21">
        <f>IF(tips!E93="Thur",1,IF(tips!E93="Fri",2,IF(tips!E93="Sat",3,4)))</f>
        <v>2</v>
      </c>
      <c r="D93" s="23">
        <f>IF(tips!G93="Dinner",1,0)</f>
        <v>1</v>
      </c>
      <c r="E93" s="24">
        <v>2</v>
      </c>
      <c r="F93" s="24">
        <v>22.49</v>
      </c>
    </row>
    <row r="94" spans="1:6" x14ac:dyDescent="0.3">
      <c r="A94" s="17">
        <f>IF(tips!A94="Male",1,0)</f>
        <v>0</v>
      </c>
      <c r="B94" s="19">
        <f>IF(tips!C94="Yes",1,0)</f>
        <v>1</v>
      </c>
      <c r="C94" s="21">
        <f>IF(tips!E94="Thur",1,IF(tips!E94="Fri",2,IF(tips!E94="Sat",3,4)))</f>
        <v>2</v>
      </c>
      <c r="D94" s="23">
        <f>IF(tips!G94="Dinner",1,0)</f>
        <v>1</v>
      </c>
      <c r="E94" s="24">
        <v>2</v>
      </c>
      <c r="F94" s="24">
        <v>5.75</v>
      </c>
    </row>
    <row r="95" spans="1:6" x14ac:dyDescent="0.3">
      <c r="A95" s="17">
        <f>IF(tips!A95="Male",1,0)</f>
        <v>0</v>
      </c>
      <c r="B95" s="19">
        <f>IF(tips!C95="Yes",1,0)</f>
        <v>1</v>
      </c>
      <c r="C95" s="21">
        <f>IF(tips!E95="Thur",1,IF(tips!E95="Fri",2,IF(tips!E95="Sat",3,4)))</f>
        <v>2</v>
      </c>
      <c r="D95" s="23">
        <f>IF(tips!G95="Dinner",1,0)</f>
        <v>1</v>
      </c>
      <c r="E95" s="24">
        <v>2</v>
      </c>
      <c r="F95" s="24">
        <v>16.32</v>
      </c>
    </row>
    <row r="96" spans="1:6" x14ac:dyDescent="0.3">
      <c r="A96" s="17">
        <f>IF(tips!A96="Male",1,0)</f>
        <v>0</v>
      </c>
      <c r="B96" s="19">
        <f>IF(tips!C96="Yes",1,0)</f>
        <v>0</v>
      </c>
      <c r="C96" s="21">
        <f>IF(tips!E96="Thur",1,IF(tips!E96="Fri",2,IF(tips!E96="Sat",3,4)))</f>
        <v>2</v>
      </c>
      <c r="D96" s="23">
        <f>IF(tips!G96="Dinner",1,0)</f>
        <v>1</v>
      </c>
      <c r="E96" s="24">
        <v>2</v>
      </c>
      <c r="F96" s="24">
        <v>22.75</v>
      </c>
    </row>
    <row r="97" spans="1:6" x14ac:dyDescent="0.3">
      <c r="A97" s="17">
        <f>IF(tips!A97="Male",1,0)</f>
        <v>1</v>
      </c>
      <c r="B97" s="19">
        <f>IF(tips!C97="Yes",1,0)</f>
        <v>1</v>
      </c>
      <c r="C97" s="21">
        <f>IF(tips!E97="Thur",1,IF(tips!E97="Fri",2,IF(tips!E97="Sat",3,4)))</f>
        <v>2</v>
      </c>
      <c r="D97" s="23">
        <f>IF(tips!G97="Dinner",1,0)</f>
        <v>1</v>
      </c>
      <c r="E97" s="24">
        <v>4</v>
      </c>
      <c r="F97" s="24">
        <v>40.17</v>
      </c>
    </row>
    <row r="98" spans="1:6" x14ac:dyDescent="0.3">
      <c r="A98" s="17">
        <f>IF(tips!A98="Male",1,0)</f>
        <v>1</v>
      </c>
      <c r="B98" s="19">
        <f>IF(tips!C98="Yes",1,0)</f>
        <v>1</v>
      </c>
      <c r="C98" s="21">
        <f>IF(tips!E98="Thur",1,IF(tips!E98="Fri",2,IF(tips!E98="Sat",3,4)))</f>
        <v>2</v>
      </c>
      <c r="D98" s="23">
        <f>IF(tips!G98="Dinner",1,0)</f>
        <v>1</v>
      </c>
      <c r="E98" s="24">
        <v>2</v>
      </c>
      <c r="F98" s="24">
        <v>27.28</v>
      </c>
    </row>
    <row r="99" spans="1:6" x14ac:dyDescent="0.3">
      <c r="A99" s="17">
        <f>IF(tips!A99="Male",1,0)</f>
        <v>1</v>
      </c>
      <c r="B99" s="19">
        <f>IF(tips!C99="Yes",1,0)</f>
        <v>1</v>
      </c>
      <c r="C99" s="21">
        <f>IF(tips!E99="Thur",1,IF(tips!E99="Fri",2,IF(tips!E99="Sat",3,4)))</f>
        <v>2</v>
      </c>
      <c r="D99" s="23">
        <f>IF(tips!G99="Dinner",1,0)</f>
        <v>1</v>
      </c>
      <c r="E99" s="24">
        <v>2</v>
      </c>
      <c r="F99" s="24">
        <v>12.03</v>
      </c>
    </row>
    <row r="100" spans="1:6" x14ac:dyDescent="0.3">
      <c r="A100" s="17">
        <f>IF(tips!A100="Male",1,0)</f>
        <v>1</v>
      </c>
      <c r="B100" s="19">
        <f>IF(tips!C100="Yes",1,0)</f>
        <v>1</v>
      </c>
      <c r="C100" s="21">
        <f>IF(tips!E100="Thur",1,IF(tips!E100="Fri",2,IF(tips!E100="Sat",3,4)))</f>
        <v>2</v>
      </c>
      <c r="D100" s="23">
        <f>IF(tips!G100="Dinner",1,0)</f>
        <v>1</v>
      </c>
      <c r="E100" s="24">
        <v>2</v>
      </c>
      <c r="F100" s="24">
        <v>21.01</v>
      </c>
    </row>
    <row r="101" spans="1:6" x14ac:dyDescent="0.3">
      <c r="A101" s="17">
        <f>IF(tips!A101="Male",1,0)</f>
        <v>1</v>
      </c>
      <c r="B101" s="19">
        <f>IF(tips!C101="Yes",1,0)</f>
        <v>0</v>
      </c>
      <c r="C101" s="21">
        <f>IF(tips!E101="Thur",1,IF(tips!E101="Fri",2,IF(tips!E101="Sat",3,4)))</f>
        <v>2</v>
      </c>
      <c r="D101" s="23">
        <f>IF(tips!G101="Dinner",1,0)</f>
        <v>1</v>
      </c>
      <c r="E101" s="24">
        <v>2</v>
      </c>
      <c r="F101" s="24">
        <v>12.46</v>
      </c>
    </row>
    <row r="102" spans="1:6" x14ac:dyDescent="0.3">
      <c r="A102" s="17">
        <f>IF(tips!A102="Male",1,0)</f>
        <v>0</v>
      </c>
      <c r="B102" s="19">
        <f>IF(tips!C102="Yes",1,0)</f>
        <v>1</v>
      </c>
      <c r="C102" s="21">
        <f>IF(tips!E102="Thur",1,IF(tips!E102="Fri",2,IF(tips!E102="Sat",3,4)))</f>
        <v>2</v>
      </c>
      <c r="D102" s="23">
        <f>IF(tips!G102="Dinner",1,0)</f>
        <v>1</v>
      </c>
      <c r="E102" s="24">
        <v>2</v>
      </c>
      <c r="F102" s="24">
        <v>11.35</v>
      </c>
    </row>
    <row r="103" spans="1:6" x14ac:dyDescent="0.3">
      <c r="A103" s="17">
        <f>IF(tips!A103="Male",1,0)</f>
        <v>0</v>
      </c>
      <c r="B103" s="19">
        <f>IF(tips!C103="Yes",1,0)</f>
        <v>1</v>
      </c>
      <c r="C103" s="21">
        <f>IF(tips!E103="Thur",1,IF(tips!E103="Fri",2,IF(tips!E103="Sat",3,4)))</f>
        <v>2</v>
      </c>
      <c r="D103" s="23">
        <f>IF(tips!G103="Dinner",1,0)</f>
        <v>1</v>
      </c>
      <c r="E103" s="24">
        <v>2</v>
      </c>
      <c r="F103" s="24">
        <v>15.38</v>
      </c>
    </row>
    <row r="104" spans="1:6" x14ac:dyDescent="0.3">
      <c r="A104" s="17">
        <f>IF(tips!A104="Male",1,0)</f>
        <v>0</v>
      </c>
      <c r="B104" s="19">
        <f>IF(tips!C104="Yes",1,0)</f>
        <v>1</v>
      </c>
      <c r="C104" s="21">
        <f>IF(tips!E104="Thur",1,IF(tips!E104="Fri",2,IF(tips!E104="Sat",3,4)))</f>
        <v>3</v>
      </c>
      <c r="D104" s="23">
        <f>IF(tips!G104="Dinner",1,0)</f>
        <v>1</v>
      </c>
      <c r="E104" s="24">
        <v>3</v>
      </c>
      <c r="F104" s="24">
        <v>44.3</v>
      </c>
    </row>
    <row r="105" spans="1:6" x14ac:dyDescent="0.3">
      <c r="A105" s="17">
        <f>IF(tips!A105="Male",1,0)</f>
        <v>0</v>
      </c>
      <c r="B105" s="19">
        <f>IF(tips!C105="Yes",1,0)</f>
        <v>1</v>
      </c>
      <c r="C105" s="21">
        <f>IF(tips!E105="Thur",1,IF(tips!E105="Fri",2,IF(tips!E105="Sat",3,4)))</f>
        <v>3</v>
      </c>
      <c r="D105" s="23">
        <f>IF(tips!G105="Dinner",1,0)</f>
        <v>1</v>
      </c>
      <c r="E105" s="24">
        <v>2</v>
      </c>
      <c r="F105" s="24">
        <v>22.42</v>
      </c>
    </row>
    <row r="106" spans="1:6" x14ac:dyDescent="0.3">
      <c r="A106" s="17">
        <f>IF(tips!A106="Male",1,0)</f>
        <v>0</v>
      </c>
      <c r="B106" s="19">
        <f>IF(tips!C106="Yes",1,0)</f>
        <v>0</v>
      </c>
      <c r="C106" s="21">
        <f>IF(tips!E106="Thur",1,IF(tips!E106="Fri",2,IF(tips!E106="Sat",3,4)))</f>
        <v>3</v>
      </c>
      <c r="D106" s="23">
        <f>IF(tips!G106="Dinner",1,0)</f>
        <v>1</v>
      </c>
      <c r="E106" s="24">
        <v>2</v>
      </c>
      <c r="F106" s="24">
        <v>20.92</v>
      </c>
    </row>
    <row r="107" spans="1:6" x14ac:dyDescent="0.3">
      <c r="A107" s="17">
        <f>IF(tips!A107="Male",1,0)</f>
        <v>1</v>
      </c>
      <c r="B107" s="19">
        <f>IF(tips!C107="Yes",1,0)</f>
        <v>1</v>
      </c>
      <c r="C107" s="21">
        <f>IF(tips!E107="Thur",1,IF(tips!E107="Fri",2,IF(tips!E107="Sat",3,4)))</f>
        <v>3</v>
      </c>
      <c r="D107" s="23">
        <f>IF(tips!G107="Dinner",1,0)</f>
        <v>1</v>
      </c>
      <c r="E107" s="24">
        <v>2</v>
      </c>
      <c r="F107" s="24">
        <v>15.36</v>
      </c>
    </row>
    <row r="108" spans="1:6" x14ac:dyDescent="0.3">
      <c r="A108" s="17">
        <f>IF(tips!A108="Male",1,0)</f>
        <v>1</v>
      </c>
      <c r="B108" s="19">
        <f>IF(tips!C108="Yes",1,0)</f>
        <v>1</v>
      </c>
      <c r="C108" s="21">
        <f>IF(tips!E108="Thur",1,IF(tips!E108="Fri",2,IF(tips!E108="Sat",3,4)))</f>
        <v>3</v>
      </c>
      <c r="D108" s="23">
        <f>IF(tips!G108="Dinner",1,0)</f>
        <v>1</v>
      </c>
      <c r="E108" s="24">
        <v>2</v>
      </c>
      <c r="F108" s="24">
        <v>20.49</v>
      </c>
    </row>
    <row r="109" spans="1:6" x14ac:dyDescent="0.3">
      <c r="A109" s="17">
        <f>IF(tips!A109="Male",1,0)</f>
        <v>1</v>
      </c>
      <c r="B109" s="19">
        <f>IF(tips!C109="Yes",1,0)</f>
        <v>1</v>
      </c>
      <c r="C109" s="21">
        <f>IF(tips!E109="Thur",1,IF(tips!E109="Fri",2,IF(tips!E109="Sat",3,4)))</f>
        <v>3</v>
      </c>
      <c r="D109" s="23">
        <f>IF(tips!G109="Dinner",1,0)</f>
        <v>1</v>
      </c>
      <c r="E109" s="24">
        <v>2</v>
      </c>
      <c r="F109" s="24">
        <v>25.21</v>
      </c>
    </row>
    <row r="110" spans="1:6" x14ac:dyDescent="0.3">
      <c r="A110" s="17">
        <f>IF(tips!A110="Male",1,0)</f>
        <v>1</v>
      </c>
      <c r="B110" s="19">
        <f>IF(tips!C110="Yes",1,0)</f>
        <v>0</v>
      </c>
      <c r="C110" s="21">
        <f>IF(tips!E110="Thur",1,IF(tips!E110="Fri",2,IF(tips!E110="Sat",3,4)))</f>
        <v>3</v>
      </c>
      <c r="D110" s="23">
        <f>IF(tips!G110="Dinner",1,0)</f>
        <v>1</v>
      </c>
      <c r="E110" s="24">
        <v>2</v>
      </c>
      <c r="F110" s="24">
        <v>18.239999999999998</v>
      </c>
    </row>
    <row r="111" spans="1:6" x14ac:dyDescent="0.3">
      <c r="A111" s="17">
        <f>IF(tips!A111="Male",1,0)</f>
        <v>0</v>
      </c>
      <c r="B111" s="19">
        <f>IF(tips!C111="Yes",1,0)</f>
        <v>1</v>
      </c>
      <c r="C111" s="21">
        <f>IF(tips!E111="Thur",1,IF(tips!E111="Fri",2,IF(tips!E111="Sat",3,4)))</f>
        <v>3</v>
      </c>
      <c r="D111" s="23">
        <f>IF(tips!G111="Dinner",1,0)</f>
        <v>1</v>
      </c>
      <c r="E111" s="24">
        <v>2</v>
      </c>
      <c r="F111" s="24">
        <v>14.31</v>
      </c>
    </row>
    <row r="112" spans="1:6" x14ac:dyDescent="0.3">
      <c r="A112" s="17">
        <f>IF(tips!A112="Male",1,0)</f>
        <v>1</v>
      </c>
      <c r="B112" s="19">
        <f>IF(tips!C112="Yes",1,0)</f>
        <v>0</v>
      </c>
      <c r="C112" s="21">
        <f>IF(tips!E112="Thur",1,IF(tips!E112="Fri",2,IF(tips!E112="Sat",3,4)))</f>
        <v>3</v>
      </c>
      <c r="D112" s="23">
        <f>IF(tips!G112="Dinner",1,0)</f>
        <v>1</v>
      </c>
      <c r="E112" s="24">
        <v>2</v>
      </c>
      <c r="F112" s="24">
        <v>14</v>
      </c>
    </row>
    <row r="113" spans="1:6" x14ac:dyDescent="0.3">
      <c r="A113" s="17">
        <f>IF(tips!A113="Male",1,0)</f>
        <v>0</v>
      </c>
      <c r="B113" s="19">
        <f>IF(tips!C113="Yes",1,0)</f>
        <v>0</v>
      </c>
      <c r="C113" s="21">
        <f>IF(tips!E113="Thur",1,IF(tips!E113="Fri",2,IF(tips!E113="Sat",3,4)))</f>
        <v>3</v>
      </c>
      <c r="D113" s="23">
        <f>IF(tips!G113="Dinner",1,0)</f>
        <v>1</v>
      </c>
      <c r="E113" s="24">
        <v>1</v>
      </c>
      <c r="F113" s="24">
        <v>7.25</v>
      </c>
    </row>
    <row r="114" spans="1:6" x14ac:dyDescent="0.3">
      <c r="A114" s="17">
        <f>IF(tips!A114="Male",1,0)</f>
        <v>1</v>
      </c>
      <c r="B114" s="19">
        <f>IF(tips!C114="Yes",1,0)</f>
        <v>0</v>
      </c>
      <c r="C114" s="21">
        <f>IF(tips!E114="Thur",1,IF(tips!E114="Fri",2,IF(tips!E114="Sat",3,4)))</f>
        <v>4</v>
      </c>
      <c r="D114" s="23">
        <f>IF(tips!G114="Dinner",1,0)</f>
        <v>1</v>
      </c>
      <c r="E114" s="24">
        <v>3</v>
      </c>
      <c r="F114" s="24">
        <v>38.07</v>
      </c>
    </row>
    <row r="115" spans="1:6" x14ac:dyDescent="0.3">
      <c r="A115" s="17">
        <f>IF(tips!A115="Male",1,0)</f>
        <v>1</v>
      </c>
      <c r="B115" s="19">
        <f>IF(tips!C115="Yes",1,0)</f>
        <v>0</v>
      </c>
      <c r="C115" s="21">
        <f>IF(tips!E115="Thur",1,IF(tips!E115="Fri",2,IF(tips!E115="Sat",3,4)))</f>
        <v>4</v>
      </c>
      <c r="D115" s="23">
        <f>IF(tips!G115="Dinner",1,0)</f>
        <v>1</v>
      </c>
      <c r="E115" s="24">
        <v>2</v>
      </c>
      <c r="F115" s="24">
        <v>23.95</v>
      </c>
    </row>
    <row r="116" spans="1:6" x14ac:dyDescent="0.3">
      <c r="A116" s="17">
        <f>IF(tips!A116="Male",1,0)</f>
        <v>0</v>
      </c>
      <c r="B116" s="19">
        <f>IF(tips!C116="Yes",1,0)</f>
        <v>0</v>
      </c>
      <c r="C116" s="21">
        <f>IF(tips!E116="Thur",1,IF(tips!E116="Fri",2,IF(tips!E116="Sat",3,4)))</f>
        <v>4</v>
      </c>
      <c r="D116" s="23">
        <f>IF(tips!G116="Dinner",1,0)</f>
        <v>1</v>
      </c>
      <c r="E116" s="24">
        <v>3</v>
      </c>
      <c r="F116" s="24">
        <v>25.71</v>
      </c>
    </row>
    <row r="117" spans="1:6" x14ac:dyDescent="0.3">
      <c r="A117" s="17">
        <f>IF(tips!A117="Male",1,0)</f>
        <v>0</v>
      </c>
      <c r="B117" s="19">
        <f>IF(tips!C117="Yes",1,0)</f>
        <v>0</v>
      </c>
      <c r="C117" s="21">
        <f>IF(tips!E117="Thur",1,IF(tips!E117="Fri",2,IF(tips!E117="Sat",3,4)))</f>
        <v>4</v>
      </c>
      <c r="D117" s="23">
        <f>IF(tips!G117="Dinner",1,0)</f>
        <v>1</v>
      </c>
      <c r="E117" s="24">
        <v>2</v>
      </c>
      <c r="F117" s="24">
        <v>17.309999999999999</v>
      </c>
    </row>
    <row r="118" spans="1:6" x14ac:dyDescent="0.3">
      <c r="A118" s="17">
        <f>IF(tips!A118="Male",1,0)</f>
        <v>1</v>
      </c>
      <c r="B118" s="19">
        <f>IF(tips!C118="Yes",1,0)</f>
        <v>0</v>
      </c>
      <c r="C118" s="21">
        <f>IF(tips!E118="Thur",1,IF(tips!E118="Fri",2,IF(tips!E118="Sat",3,4)))</f>
        <v>4</v>
      </c>
      <c r="D118" s="23">
        <f>IF(tips!G118="Dinner",1,0)</f>
        <v>1</v>
      </c>
      <c r="E118" s="24">
        <v>4</v>
      </c>
      <c r="F118" s="24">
        <v>29.93</v>
      </c>
    </row>
    <row r="119" spans="1:6" x14ac:dyDescent="0.3">
      <c r="A119" s="17">
        <f>IF(tips!A119="Male",1,0)</f>
        <v>0</v>
      </c>
      <c r="B119" s="19">
        <f>IF(tips!C119="Yes",1,0)</f>
        <v>0</v>
      </c>
      <c r="C119" s="21">
        <f>IF(tips!E119="Thur",1,IF(tips!E119="Fri",2,IF(tips!E119="Sat",3,4)))</f>
        <v>1</v>
      </c>
      <c r="D119" s="23">
        <f>IF(tips!G119="Dinner",1,0)</f>
        <v>0</v>
      </c>
      <c r="E119" s="24">
        <v>2</v>
      </c>
      <c r="F119" s="24">
        <v>10.65</v>
      </c>
    </row>
    <row r="120" spans="1:6" x14ac:dyDescent="0.3">
      <c r="A120" s="17">
        <f>IF(tips!A120="Male",1,0)</f>
        <v>0</v>
      </c>
      <c r="B120" s="19">
        <f>IF(tips!C120="Yes",1,0)</f>
        <v>0</v>
      </c>
      <c r="C120" s="21">
        <f>IF(tips!E120="Thur",1,IF(tips!E120="Fri",2,IF(tips!E120="Sat",3,4)))</f>
        <v>1</v>
      </c>
      <c r="D120" s="23">
        <f>IF(tips!G120="Dinner",1,0)</f>
        <v>0</v>
      </c>
      <c r="E120" s="24">
        <v>2</v>
      </c>
      <c r="F120" s="24">
        <v>12.43</v>
      </c>
    </row>
    <row r="121" spans="1:6" x14ac:dyDescent="0.3">
      <c r="A121" s="17">
        <f>IF(tips!A121="Male",1,0)</f>
        <v>0</v>
      </c>
      <c r="B121" s="19">
        <f>IF(tips!C121="Yes",1,0)</f>
        <v>0</v>
      </c>
      <c r="C121" s="21">
        <f>IF(tips!E121="Thur",1,IF(tips!E121="Fri",2,IF(tips!E121="Sat",3,4)))</f>
        <v>1</v>
      </c>
      <c r="D121" s="23">
        <f>IF(tips!G121="Dinner",1,0)</f>
        <v>0</v>
      </c>
      <c r="E121" s="24">
        <v>4</v>
      </c>
      <c r="F121" s="24">
        <v>24.08</v>
      </c>
    </row>
    <row r="122" spans="1:6" x14ac:dyDescent="0.3">
      <c r="A122" s="17">
        <f>IF(tips!A122="Male",1,0)</f>
        <v>1</v>
      </c>
      <c r="B122" s="19">
        <f>IF(tips!C122="Yes",1,0)</f>
        <v>0</v>
      </c>
      <c r="C122" s="21">
        <f>IF(tips!E122="Thur",1,IF(tips!E122="Fri",2,IF(tips!E122="Sat",3,4)))</f>
        <v>1</v>
      </c>
      <c r="D122" s="23">
        <f>IF(tips!G122="Dinner",1,0)</f>
        <v>0</v>
      </c>
      <c r="E122" s="24">
        <v>2</v>
      </c>
      <c r="F122" s="24">
        <v>11.69</v>
      </c>
    </row>
    <row r="123" spans="1:6" x14ac:dyDescent="0.3">
      <c r="A123" s="17">
        <f>IF(tips!A123="Male",1,0)</f>
        <v>0</v>
      </c>
      <c r="B123" s="19">
        <f>IF(tips!C123="Yes",1,0)</f>
        <v>0</v>
      </c>
      <c r="C123" s="21">
        <f>IF(tips!E123="Thur",1,IF(tips!E123="Fri",2,IF(tips!E123="Sat",3,4)))</f>
        <v>1</v>
      </c>
      <c r="D123" s="23">
        <f>IF(tips!G123="Dinner",1,0)</f>
        <v>0</v>
      </c>
      <c r="E123" s="24">
        <v>2</v>
      </c>
      <c r="F123" s="24">
        <v>13.42</v>
      </c>
    </row>
    <row r="124" spans="1:6" x14ac:dyDescent="0.3">
      <c r="A124" s="17">
        <f>IF(tips!A124="Male",1,0)</f>
        <v>1</v>
      </c>
      <c r="B124" s="19">
        <f>IF(tips!C124="Yes",1,0)</f>
        <v>0</v>
      </c>
      <c r="C124" s="21">
        <f>IF(tips!E124="Thur",1,IF(tips!E124="Fri",2,IF(tips!E124="Sat",3,4)))</f>
        <v>1</v>
      </c>
      <c r="D124" s="23">
        <f>IF(tips!G124="Dinner",1,0)</f>
        <v>0</v>
      </c>
      <c r="E124" s="24">
        <v>2</v>
      </c>
      <c r="F124" s="24">
        <v>14.26</v>
      </c>
    </row>
    <row r="125" spans="1:6" x14ac:dyDescent="0.3">
      <c r="A125" s="17">
        <f>IF(tips!A125="Male",1,0)</f>
        <v>1</v>
      </c>
      <c r="B125" s="19">
        <f>IF(tips!C125="Yes",1,0)</f>
        <v>0</v>
      </c>
      <c r="C125" s="21">
        <f>IF(tips!E125="Thur",1,IF(tips!E125="Fri",2,IF(tips!E125="Sat",3,4)))</f>
        <v>1</v>
      </c>
      <c r="D125" s="23">
        <f>IF(tips!G125="Dinner",1,0)</f>
        <v>0</v>
      </c>
      <c r="E125" s="24">
        <v>2</v>
      </c>
      <c r="F125" s="24">
        <v>15.95</v>
      </c>
    </row>
    <row r="126" spans="1:6" x14ac:dyDescent="0.3">
      <c r="A126" s="17">
        <f>IF(tips!A126="Male",1,0)</f>
        <v>0</v>
      </c>
      <c r="B126" s="19">
        <f>IF(tips!C126="Yes",1,0)</f>
        <v>0</v>
      </c>
      <c r="C126" s="21">
        <f>IF(tips!E126="Thur",1,IF(tips!E126="Fri",2,IF(tips!E126="Sat",3,4)))</f>
        <v>1</v>
      </c>
      <c r="D126" s="23">
        <f>IF(tips!G126="Dinner",1,0)</f>
        <v>0</v>
      </c>
      <c r="E126" s="24">
        <v>2</v>
      </c>
      <c r="F126" s="24">
        <v>12.48</v>
      </c>
    </row>
    <row r="127" spans="1:6" x14ac:dyDescent="0.3">
      <c r="A127" s="17">
        <f>IF(tips!A127="Male",1,0)</f>
        <v>0</v>
      </c>
      <c r="B127" s="19">
        <f>IF(tips!C127="Yes",1,0)</f>
        <v>0</v>
      </c>
      <c r="C127" s="21">
        <f>IF(tips!E127="Thur",1,IF(tips!E127="Fri",2,IF(tips!E127="Sat",3,4)))</f>
        <v>1</v>
      </c>
      <c r="D127" s="23">
        <f>IF(tips!G127="Dinner",1,0)</f>
        <v>0</v>
      </c>
      <c r="E127" s="24">
        <v>6</v>
      </c>
      <c r="F127" s="24">
        <v>29.8</v>
      </c>
    </row>
    <row r="128" spans="1:6" x14ac:dyDescent="0.3">
      <c r="A128" s="17">
        <f>IF(tips!A128="Male",1,0)</f>
        <v>1</v>
      </c>
      <c r="B128" s="19">
        <f>IF(tips!C128="Yes",1,0)</f>
        <v>0</v>
      </c>
      <c r="C128" s="21">
        <f>IF(tips!E128="Thur",1,IF(tips!E128="Fri",2,IF(tips!E128="Sat",3,4)))</f>
        <v>1</v>
      </c>
      <c r="D128" s="23">
        <f>IF(tips!G128="Dinner",1,0)</f>
        <v>0</v>
      </c>
      <c r="E128" s="24">
        <v>2</v>
      </c>
      <c r="F128" s="24">
        <v>8.52</v>
      </c>
    </row>
    <row r="129" spans="1:6" x14ac:dyDescent="0.3">
      <c r="A129" s="17">
        <f>IF(tips!A129="Male",1,0)</f>
        <v>0</v>
      </c>
      <c r="B129" s="19">
        <f>IF(tips!C129="Yes",1,0)</f>
        <v>0</v>
      </c>
      <c r="C129" s="21">
        <f>IF(tips!E129="Thur",1,IF(tips!E129="Fri",2,IF(tips!E129="Sat",3,4)))</f>
        <v>1</v>
      </c>
      <c r="D129" s="23">
        <f>IF(tips!G129="Dinner",1,0)</f>
        <v>0</v>
      </c>
      <c r="E129" s="24">
        <v>2</v>
      </c>
      <c r="F129" s="24">
        <v>14.52</v>
      </c>
    </row>
    <row r="130" spans="1:6" x14ac:dyDescent="0.3">
      <c r="A130" s="17">
        <f>IF(tips!A130="Male",1,0)</f>
        <v>0</v>
      </c>
      <c r="B130" s="19">
        <f>IF(tips!C130="Yes",1,0)</f>
        <v>0</v>
      </c>
      <c r="C130" s="21">
        <f>IF(tips!E130="Thur",1,IF(tips!E130="Fri",2,IF(tips!E130="Sat",3,4)))</f>
        <v>1</v>
      </c>
      <c r="D130" s="23">
        <f>IF(tips!G130="Dinner",1,0)</f>
        <v>0</v>
      </c>
      <c r="E130" s="24">
        <v>2</v>
      </c>
      <c r="F130" s="24">
        <v>11.38</v>
      </c>
    </row>
    <row r="131" spans="1:6" x14ac:dyDescent="0.3">
      <c r="A131" s="17">
        <f>IF(tips!A131="Male",1,0)</f>
        <v>1</v>
      </c>
      <c r="B131" s="19">
        <f>IF(tips!C131="Yes",1,0)</f>
        <v>0</v>
      </c>
      <c r="C131" s="21">
        <f>IF(tips!E131="Thur",1,IF(tips!E131="Fri",2,IF(tips!E131="Sat",3,4)))</f>
        <v>1</v>
      </c>
      <c r="D131" s="23">
        <f>IF(tips!G131="Dinner",1,0)</f>
        <v>0</v>
      </c>
      <c r="E131" s="24">
        <v>3</v>
      </c>
      <c r="F131" s="24">
        <v>22.82</v>
      </c>
    </row>
    <row r="132" spans="1:6" x14ac:dyDescent="0.3">
      <c r="A132" s="17">
        <f>IF(tips!A132="Male",1,0)</f>
        <v>1</v>
      </c>
      <c r="B132" s="19">
        <f>IF(tips!C132="Yes",1,0)</f>
        <v>0</v>
      </c>
      <c r="C132" s="21">
        <f>IF(tips!E132="Thur",1,IF(tips!E132="Fri",2,IF(tips!E132="Sat",3,4)))</f>
        <v>1</v>
      </c>
      <c r="D132" s="23">
        <f>IF(tips!G132="Dinner",1,0)</f>
        <v>0</v>
      </c>
      <c r="E132" s="24">
        <v>2</v>
      </c>
      <c r="F132" s="24">
        <v>19.079999999999998</v>
      </c>
    </row>
    <row r="133" spans="1:6" x14ac:dyDescent="0.3">
      <c r="A133" s="17">
        <f>IF(tips!A133="Male",1,0)</f>
        <v>0</v>
      </c>
      <c r="B133" s="19">
        <f>IF(tips!C133="Yes",1,0)</f>
        <v>0</v>
      </c>
      <c r="C133" s="21">
        <f>IF(tips!E133="Thur",1,IF(tips!E133="Fri",2,IF(tips!E133="Sat",3,4)))</f>
        <v>1</v>
      </c>
      <c r="D133" s="23">
        <f>IF(tips!G133="Dinner",1,0)</f>
        <v>0</v>
      </c>
      <c r="E133" s="24">
        <v>2</v>
      </c>
      <c r="F133" s="24">
        <v>20.27</v>
      </c>
    </row>
    <row r="134" spans="1:6" x14ac:dyDescent="0.3">
      <c r="A134" s="17">
        <f>IF(tips!A134="Male",1,0)</f>
        <v>0</v>
      </c>
      <c r="B134" s="19">
        <f>IF(tips!C134="Yes",1,0)</f>
        <v>0</v>
      </c>
      <c r="C134" s="21">
        <f>IF(tips!E134="Thur",1,IF(tips!E134="Fri",2,IF(tips!E134="Sat",3,4)))</f>
        <v>1</v>
      </c>
      <c r="D134" s="23">
        <f>IF(tips!G134="Dinner",1,0)</f>
        <v>0</v>
      </c>
      <c r="E134" s="24">
        <v>2</v>
      </c>
      <c r="F134" s="24">
        <v>11.17</v>
      </c>
    </row>
    <row r="135" spans="1:6" x14ac:dyDescent="0.3">
      <c r="A135" s="17">
        <f>IF(tips!A135="Male",1,0)</f>
        <v>0</v>
      </c>
      <c r="B135" s="19">
        <f>IF(tips!C135="Yes",1,0)</f>
        <v>0</v>
      </c>
      <c r="C135" s="21">
        <f>IF(tips!E135="Thur",1,IF(tips!E135="Fri",2,IF(tips!E135="Sat",3,4)))</f>
        <v>1</v>
      </c>
      <c r="D135" s="23">
        <f>IF(tips!G135="Dinner",1,0)</f>
        <v>0</v>
      </c>
      <c r="E135" s="24">
        <v>2</v>
      </c>
      <c r="F135" s="24">
        <v>12.26</v>
      </c>
    </row>
    <row r="136" spans="1:6" x14ac:dyDescent="0.3">
      <c r="A136" s="17">
        <f>IF(tips!A136="Male",1,0)</f>
        <v>0</v>
      </c>
      <c r="B136" s="19">
        <f>IF(tips!C136="Yes",1,0)</f>
        <v>0</v>
      </c>
      <c r="C136" s="21">
        <f>IF(tips!E136="Thur",1,IF(tips!E136="Fri",2,IF(tips!E136="Sat",3,4)))</f>
        <v>1</v>
      </c>
      <c r="D136" s="23">
        <f>IF(tips!G136="Dinner",1,0)</f>
        <v>0</v>
      </c>
      <c r="E136" s="24">
        <v>2</v>
      </c>
      <c r="F136" s="24">
        <v>18.260000000000002</v>
      </c>
    </row>
    <row r="137" spans="1:6" x14ac:dyDescent="0.3">
      <c r="A137" s="17">
        <f>IF(tips!A137="Male",1,0)</f>
        <v>0</v>
      </c>
      <c r="B137" s="19">
        <f>IF(tips!C137="Yes",1,0)</f>
        <v>0</v>
      </c>
      <c r="C137" s="21">
        <f>IF(tips!E137="Thur",1,IF(tips!E137="Fri",2,IF(tips!E137="Sat",3,4)))</f>
        <v>1</v>
      </c>
      <c r="D137" s="23">
        <f>IF(tips!G137="Dinner",1,0)</f>
        <v>0</v>
      </c>
      <c r="E137" s="24">
        <v>2</v>
      </c>
      <c r="F137" s="24">
        <v>8.51</v>
      </c>
    </row>
    <row r="138" spans="1:6" x14ac:dyDescent="0.3">
      <c r="A138" s="17">
        <f>IF(tips!A138="Male",1,0)</f>
        <v>0</v>
      </c>
      <c r="B138" s="19">
        <f>IF(tips!C138="Yes",1,0)</f>
        <v>0</v>
      </c>
      <c r="C138" s="21">
        <f>IF(tips!E138="Thur",1,IF(tips!E138="Fri",2,IF(tips!E138="Sat",3,4)))</f>
        <v>1</v>
      </c>
      <c r="D138" s="23">
        <f>IF(tips!G138="Dinner",1,0)</f>
        <v>0</v>
      </c>
      <c r="E138" s="24">
        <v>2</v>
      </c>
      <c r="F138" s="24">
        <v>10.33</v>
      </c>
    </row>
    <row r="139" spans="1:6" x14ac:dyDescent="0.3">
      <c r="A139" s="17">
        <f>IF(tips!A139="Male",1,0)</f>
        <v>0</v>
      </c>
      <c r="B139" s="19">
        <f>IF(tips!C139="Yes",1,0)</f>
        <v>0</v>
      </c>
      <c r="C139" s="21">
        <f>IF(tips!E139="Thur",1,IF(tips!E139="Fri",2,IF(tips!E139="Sat",3,4)))</f>
        <v>1</v>
      </c>
      <c r="D139" s="23">
        <f>IF(tips!G139="Dinner",1,0)</f>
        <v>0</v>
      </c>
      <c r="E139" s="24">
        <v>2</v>
      </c>
      <c r="F139" s="24">
        <v>14.15</v>
      </c>
    </row>
    <row r="140" spans="1:6" x14ac:dyDescent="0.3">
      <c r="A140" s="17">
        <f>IF(tips!A140="Male",1,0)</f>
        <v>1</v>
      </c>
      <c r="B140" s="19">
        <f>IF(tips!C140="Yes",1,0)</f>
        <v>1</v>
      </c>
      <c r="C140" s="21">
        <f>IF(tips!E140="Thur",1,IF(tips!E140="Fri",2,IF(tips!E140="Sat",3,4)))</f>
        <v>1</v>
      </c>
      <c r="D140" s="23">
        <f>IF(tips!G140="Dinner",1,0)</f>
        <v>0</v>
      </c>
      <c r="E140" s="24">
        <v>2</v>
      </c>
      <c r="F140" s="24">
        <v>16</v>
      </c>
    </row>
    <row r="141" spans="1:6" x14ac:dyDescent="0.3">
      <c r="A141" s="17">
        <f>IF(tips!A141="Male",1,0)</f>
        <v>0</v>
      </c>
      <c r="B141" s="19">
        <f>IF(tips!C141="Yes",1,0)</f>
        <v>0</v>
      </c>
      <c r="C141" s="21">
        <f>IF(tips!E141="Thur",1,IF(tips!E141="Fri",2,IF(tips!E141="Sat",3,4)))</f>
        <v>1</v>
      </c>
      <c r="D141" s="23">
        <f>IF(tips!G141="Dinner",1,0)</f>
        <v>0</v>
      </c>
      <c r="E141" s="24">
        <v>2</v>
      </c>
      <c r="F141" s="24">
        <v>13.16</v>
      </c>
    </row>
    <row r="142" spans="1:6" x14ac:dyDescent="0.3">
      <c r="A142" s="17">
        <f>IF(tips!A142="Male",1,0)</f>
        <v>0</v>
      </c>
      <c r="B142" s="19">
        <f>IF(tips!C142="Yes",1,0)</f>
        <v>0</v>
      </c>
      <c r="C142" s="21">
        <f>IF(tips!E142="Thur",1,IF(tips!E142="Fri",2,IF(tips!E142="Sat",3,4)))</f>
        <v>1</v>
      </c>
      <c r="D142" s="23">
        <f>IF(tips!G142="Dinner",1,0)</f>
        <v>0</v>
      </c>
      <c r="E142" s="24">
        <v>2</v>
      </c>
      <c r="F142" s="24">
        <v>17.47</v>
      </c>
    </row>
    <row r="143" spans="1:6" x14ac:dyDescent="0.3">
      <c r="A143" s="17">
        <f>IF(tips!A143="Male",1,0)</f>
        <v>1</v>
      </c>
      <c r="B143" s="19">
        <f>IF(tips!C143="Yes",1,0)</f>
        <v>0</v>
      </c>
      <c r="C143" s="21">
        <f>IF(tips!E143="Thur",1,IF(tips!E143="Fri",2,IF(tips!E143="Sat",3,4)))</f>
        <v>1</v>
      </c>
      <c r="D143" s="23">
        <f>IF(tips!G143="Dinner",1,0)</f>
        <v>0</v>
      </c>
      <c r="E143" s="24">
        <v>6</v>
      </c>
      <c r="F143" s="24">
        <v>34.299999999999997</v>
      </c>
    </row>
    <row r="144" spans="1:6" x14ac:dyDescent="0.3">
      <c r="A144" s="17">
        <f>IF(tips!A144="Male",1,0)</f>
        <v>1</v>
      </c>
      <c r="B144" s="19">
        <f>IF(tips!C144="Yes",1,0)</f>
        <v>0</v>
      </c>
      <c r="C144" s="21">
        <f>IF(tips!E144="Thur",1,IF(tips!E144="Fri",2,IF(tips!E144="Sat",3,4)))</f>
        <v>1</v>
      </c>
      <c r="D144" s="23">
        <f>IF(tips!G144="Dinner",1,0)</f>
        <v>0</v>
      </c>
      <c r="E144" s="24">
        <v>5</v>
      </c>
      <c r="F144" s="24">
        <v>41.19</v>
      </c>
    </row>
    <row r="145" spans="1:6" x14ac:dyDescent="0.3">
      <c r="A145" s="17">
        <f>IF(tips!A145="Male",1,0)</f>
        <v>0</v>
      </c>
      <c r="B145" s="19">
        <f>IF(tips!C145="Yes",1,0)</f>
        <v>0</v>
      </c>
      <c r="C145" s="21">
        <f>IF(tips!E145="Thur",1,IF(tips!E145="Fri",2,IF(tips!E145="Sat",3,4)))</f>
        <v>1</v>
      </c>
      <c r="D145" s="23">
        <f>IF(tips!G145="Dinner",1,0)</f>
        <v>0</v>
      </c>
      <c r="E145" s="24">
        <v>6</v>
      </c>
      <c r="F145" s="24">
        <v>27.05</v>
      </c>
    </row>
    <row r="146" spans="1:6" x14ac:dyDescent="0.3">
      <c r="A146" s="17">
        <f>IF(tips!A146="Male",1,0)</f>
        <v>0</v>
      </c>
      <c r="B146" s="19">
        <f>IF(tips!C146="Yes",1,0)</f>
        <v>0</v>
      </c>
      <c r="C146" s="21">
        <f>IF(tips!E146="Thur",1,IF(tips!E146="Fri",2,IF(tips!E146="Sat",3,4)))</f>
        <v>1</v>
      </c>
      <c r="D146" s="23">
        <f>IF(tips!G146="Dinner",1,0)</f>
        <v>0</v>
      </c>
      <c r="E146" s="24">
        <v>2</v>
      </c>
      <c r="F146" s="24">
        <v>16.43</v>
      </c>
    </row>
    <row r="147" spans="1:6" x14ac:dyDescent="0.3">
      <c r="A147" s="17">
        <f>IF(tips!A147="Male",1,0)</f>
        <v>0</v>
      </c>
      <c r="B147" s="19">
        <f>IF(tips!C147="Yes",1,0)</f>
        <v>0</v>
      </c>
      <c r="C147" s="21">
        <f>IF(tips!E147="Thur",1,IF(tips!E147="Fri",2,IF(tips!E147="Sat",3,4)))</f>
        <v>1</v>
      </c>
      <c r="D147" s="23">
        <f>IF(tips!G147="Dinner",1,0)</f>
        <v>0</v>
      </c>
      <c r="E147" s="24">
        <v>2</v>
      </c>
      <c r="F147" s="24">
        <v>8.35</v>
      </c>
    </row>
    <row r="148" spans="1:6" x14ac:dyDescent="0.3">
      <c r="A148" s="17">
        <f>IF(tips!A148="Male",1,0)</f>
        <v>0</v>
      </c>
      <c r="B148" s="19">
        <f>IF(tips!C148="Yes",1,0)</f>
        <v>0</v>
      </c>
      <c r="C148" s="21">
        <f>IF(tips!E148="Thur",1,IF(tips!E148="Fri",2,IF(tips!E148="Sat",3,4)))</f>
        <v>1</v>
      </c>
      <c r="D148" s="23">
        <f>IF(tips!G148="Dinner",1,0)</f>
        <v>0</v>
      </c>
      <c r="E148" s="24">
        <v>3</v>
      </c>
      <c r="F148" s="24">
        <v>18.64</v>
      </c>
    </row>
    <row r="149" spans="1:6" x14ac:dyDescent="0.3">
      <c r="A149" s="17">
        <f>IF(tips!A149="Male",1,0)</f>
        <v>0</v>
      </c>
      <c r="B149" s="19">
        <f>IF(tips!C149="Yes",1,0)</f>
        <v>0</v>
      </c>
      <c r="C149" s="21">
        <f>IF(tips!E149="Thur",1,IF(tips!E149="Fri",2,IF(tips!E149="Sat",3,4)))</f>
        <v>1</v>
      </c>
      <c r="D149" s="23">
        <f>IF(tips!G149="Dinner",1,0)</f>
        <v>0</v>
      </c>
      <c r="E149" s="24">
        <v>2</v>
      </c>
      <c r="F149" s="24">
        <v>11.87</v>
      </c>
    </row>
    <row r="150" spans="1:6" x14ac:dyDescent="0.3">
      <c r="A150" s="17">
        <f>IF(tips!A150="Male",1,0)</f>
        <v>1</v>
      </c>
      <c r="B150" s="19">
        <f>IF(tips!C150="Yes",1,0)</f>
        <v>0</v>
      </c>
      <c r="C150" s="21">
        <f>IF(tips!E150="Thur",1,IF(tips!E150="Fri",2,IF(tips!E150="Sat",3,4)))</f>
        <v>1</v>
      </c>
      <c r="D150" s="23">
        <f>IF(tips!G150="Dinner",1,0)</f>
        <v>0</v>
      </c>
      <c r="E150" s="24">
        <v>2</v>
      </c>
      <c r="F150" s="24">
        <v>9.7799999999999994</v>
      </c>
    </row>
    <row r="151" spans="1:6" x14ac:dyDescent="0.3">
      <c r="A151" s="17">
        <f>IF(tips!A151="Male",1,0)</f>
        <v>1</v>
      </c>
      <c r="B151" s="19">
        <f>IF(tips!C151="Yes",1,0)</f>
        <v>0</v>
      </c>
      <c r="C151" s="21">
        <f>IF(tips!E151="Thur",1,IF(tips!E151="Fri",2,IF(tips!E151="Sat",3,4)))</f>
        <v>1</v>
      </c>
      <c r="D151" s="23">
        <f>IF(tips!G151="Dinner",1,0)</f>
        <v>0</v>
      </c>
      <c r="E151" s="24">
        <v>2</v>
      </c>
      <c r="F151" s="24">
        <v>7.51</v>
      </c>
    </row>
    <row r="152" spans="1:6" x14ac:dyDescent="0.3">
      <c r="A152" s="17">
        <f>IF(tips!A152="Male",1,0)</f>
        <v>1</v>
      </c>
      <c r="B152" s="19">
        <f>IF(tips!C152="Yes",1,0)</f>
        <v>0</v>
      </c>
      <c r="C152" s="21">
        <f>IF(tips!E152="Thur",1,IF(tips!E152="Fri",2,IF(tips!E152="Sat",3,4)))</f>
        <v>4</v>
      </c>
      <c r="D152" s="23">
        <f>IF(tips!G152="Dinner",1,0)</f>
        <v>1</v>
      </c>
      <c r="E152" s="24">
        <v>2</v>
      </c>
      <c r="F152" s="24">
        <v>14.07</v>
      </c>
    </row>
    <row r="153" spans="1:6" x14ac:dyDescent="0.3">
      <c r="A153" s="17">
        <f>IF(tips!A153="Male",1,0)</f>
        <v>1</v>
      </c>
      <c r="B153" s="19">
        <f>IF(tips!C153="Yes",1,0)</f>
        <v>0</v>
      </c>
      <c r="C153" s="21">
        <f>IF(tips!E153="Thur",1,IF(tips!E153="Fri",2,IF(tips!E153="Sat",3,4)))</f>
        <v>4</v>
      </c>
      <c r="D153" s="23">
        <f>IF(tips!G153="Dinner",1,0)</f>
        <v>1</v>
      </c>
      <c r="E153" s="24">
        <v>2</v>
      </c>
      <c r="F153" s="24">
        <v>13.13</v>
      </c>
    </row>
    <row r="154" spans="1:6" x14ac:dyDescent="0.3">
      <c r="A154" s="17">
        <f>IF(tips!A154="Male",1,0)</f>
        <v>1</v>
      </c>
      <c r="B154" s="19">
        <f>IF(tips!C154="Yes",1,0)</f>
        <v>0</v>
      </c>
      <c r="C154" s="21">
        <f>IF(tips!E154="Thur",1,IF(tips!E154="Fri",2,IF(tips!E154="Sat",3,4)))</f>
        <v>4</v>
      </c>
      <c r="D154" s="23">
        <f>IF(tips!G154="Dinner",1,0)</f>
        <v>1</v>
      </c>
      <c r="E154" s="24">
        <v>3</v>
      </c>
      <c r="F154" s="24">
        <v>17.260000000000002</v>
      </c>
    </row>
    <row r="155" spans="1:6" x14ac:dyDescent="0.3">
      <c r="A155" s="17">
        <f>IF(tips!A155="Male",1,0)</f>
        <v>1</v>
      </c>
      <c r="B155" s="19">
        <f>IF(tips!C155="Yes",1,0)</f>
        <v>0</v>
      </c>
      <c r="C155" s="21">
        <f>IF(tips!E155="Thur",1,IF(tips!E155="Fri",2,IF(tips!E155="Sat",3,4)))</f>
        <v>4</v>
      </c>
      <c r="D155" s="23">
        <f>IF(tips!G155="Dinner",1,0)</f>
        <v>1</v>
      </c>
      <c r="E155" s="24">
        <v>4</v>
      </c>
      <c r="F155" s="24">
        <v>24.55</v>
      </c>
    </row>
    <row r="156" spans="1:6" x14ac:dyDescent="0.3">
      <c r="A156" s="17">
        <f>IF(tips!A156="Male",1,0)</f>
        <v>1</v>
      </c>
      <c r="B156" s="19">
        <f>IF(tips!C156="Yes",1,0)</f>
        <v>0</v>
      </c>
      <c r="C156" s="21">
        <f>IF(tips!E156="Thur",1,IF(tips!E156="Fri",2,IF(tips!E156="Sat",3,4)))</f>
        <v>4</v>
      </c>
      <c r="D156" s="23">
        <f>IF(tips!G156="Dinner",1,0)</f>
        <v>1</v>
      </c>
      <c r="E156" s="24">
        <v>4</v>
      </c>
      <c r="F156" s="24">
        <v>19.77</v>
      </c>
    </row>
    <row r="157" spans="1:6" x14ac:dyDescent="0.3">
      <c r="A157" s="17">
        <f>IF(tips!A157="Male",1,0)</f>
        <v>0</v>
      </c>
      <c r="B157" s="19">
        <f>IF(tips!C157="Yes",1,0)</f>
        <v>0</v>
      </c>
      <c r="C157" s="21">
        <f>IF(tips!E157="Thur",1,IF(tips!E157="Fri",2,IF(tips!E157="Sat",3,4)))</f>
        <v>4</v>
      </c>
      <c r="D157" s="23">
        <f>IF(tips!G157="Dinner",1,0)</f>
        <v>1</v>
      </c>
      <c r="E157" s="24">
        <v>5</v>
      </c>
      <c r="F157" s="24">
        <v>29.85</v>
      </c>
    </row>
    <row r="158" spans="1:6" x14ac:dyDescent="0.3">
      <c r="A158" s="17">
        <f>IF(tips!A158="Male",1,0)</f>
        <v>1</v>
      </c>
      <c r="B158" s="19">
        <f>IF(tips!C158="Yes",1,0)</f>
        <v>0</v>
      </c>
      <c r="C158" s="21">
        <f>IF(tips!E158="Thur",1,IF(tips!E158="Fri",2,IF(tips!E158="Sat",3,4)))</f>
        <v>4</v>
      </c>
      <c r="D158" s="23">
        <f>IF(tips!G158="Dinner",1,0)</f>
        <v>1</v>
      </c>
      <c r="E158" s="24">
        <v>6</v>
      </c>
      <c r="F158" s="24">
        <v>48.17</v>
      </c>
    </row>
    <row r="159" spans="1:6" x14ac:dyDescent="0.3">
      <c r="A159" s="17">
        <f>IF(tips!A159="Male",1,0)</f>
        <v>0</v>
      </c>
      <c r="B159" s="19">
        <f>IF(tips!C159="Yes",1,0)</f>
        <v>0</v>
      </c>
      <c r="C159" s="21">
        <f>IF(tips!E159="Thur",1,IF(tips!E159="Fri",2,IF(tips!E159="Sat",3,4)))</f>
        <v>4</v>
      </c>
      <c r="D159" s="23">
        <f>IF(tips!G159="Dinner",1,0)</f>
        <v>1</v>
      </c>
      <c r="E159" s="24">
        <v>4</v>
      </c>
      <c r="F159" s="24">
        <v>25</v>
      </c>
    </row>
    <row r="160" spans="1:6" x14ac:dyDescent="0.3">
      <c r="A160" s="17">
        <f>IF(tips!A160="Male",1,0)</f>
        <v>0</v>
      </c>
      <c r="B160" s="19">
        <f>IF(tips!C160="Yes",1,0)</f>
        <v>0</v>
      </c>
      <c r="C160" s="21">
        <f>IF(tips!E160="Thur",1,IF(tips!E160="Fri",2,IF(tips!E160="Sat",3,4)))</f>
        <v>4</v>
      </c>
      <c r="D160" s="23">
        <f>IF(tips!G160="Dinner",1,0)</f>
        <v>1</v>
      </c>
      <c r="E160" s="24">
        <v>2</v>
      </c>
      <c r="F160" s="24">
        <v>13.39</v>
      </c>
    </row>
    <row r="161" spans="1:6" x14ac:dyDescent="0.3">
      <c r="A161" s="17">
        <f>IF(tips!A161="Male",1,0)</f>
        <v>1</v>
      </c>
      <c r="B161" s="19">
        <f>IF(tips!C161="Yes",1,0)</f>
        <v>0</v>
      </c>
      <c r="C161" s="21">
        <f>IF(tips!E161="Thur",1,IF(tips!E161="Fri",2,IF(tips!E161="Sat",3,4)))</f>
        <v>4</v>
      </c>
      <c r="D161" s="23">
        <f>IF(tips!G161="Dinner",1,0)</f>
        <v>1</v>
      </c>
      <c r="E161" s="24">
        <v>4</v>
      </c>
      <c r="F161" s="24">
        <v>16.489999999999998</v>
      </c>
    </row>
    <row r="162" spans="1:6" x14ac:dyDescent="0.3">
      <c r="A162" s="17">
        <f>IF(tips!A162="Male",1,0)</f>
        <v>1</v>
      </c>
      <c r="B162" s="19">
        <f>IF(tips!C162="Yes",1,0)</f>
        <v>0</v>
      </c>
      <c r="C162" s="21">
        <f>IF(tips!E162="Thur",1,IF(tips!E162="Fri",2,IF(tips!E162="Sat",3,4)))</f>
        <v>4</v>
      </c>
      <c r="D162" s="23">
        <f>IF(tips!G162="Dinner",1,0)</f>
        <v>1</v>
      </c>
      <c r="E162" s="24">
        <v>4</v>
      </c>
      <c r="F162" s="24">
        <v>21.5</v>
      </c>
    </row>
    <row r="163" spans="1:6" x14ac:dyDescent="0.3">
      <c r="A163" s="17">
        <f>IF(tips!A163="Male",1,0)</f>
        <v>1</v>
      </c>
      <c r="B163" s="19">
        <f>IF(tips!C163="Yes",1,0)</f>
        <v>0</v>
      </c>
      <c r="C163" s="21">
        <f>IF(tips!E163="Thur",1,IF(tips!E163="Fri",2,IF(tips!E163="Sat",3,4)))</f>
        <v>4</v>
      </c>
      <c r="D163" s="23">
        <f>IF(tips!G163="Dinner",1,0)</f>
        <v>1</v>
      </c>
      <c r="E163" s="24">
        <v>2</v>
      </c>
      <c r="F163" s="24">
        <v>12.66</v>
      </c>
    </row>
    <row r="164" spans="1:6" x14ac:dyDescent="0.3">
      <c r="A164" s="17">
        <f>IF(tips!A164="Male",1,0)</f>
        <v>0</v>
      </c>
      <c r="B164" s="19">
        <f>IF(tips!C164="Yes",1,0)</f>
        <v>0</v>
      </c>
      <c r="C164" s="21">
        <f>IF(tips!E164="Thur",1,IF(tips!E164="Fri",2,IF(tips!E164="Sat",3,4)))</f>
        <v>4</v>
      </c>
      <c r="D164" s="23">
        <f>IF(tips!G164="Dinner",1,0)</f>
        <v>1</v>
      </c>
      <c r="E164" s="24">
        <v>3</v>
      </c>
      <c r="F164" s="24">
        <v>16.21</v>
      </c>
    </row>
    <row r="165" spans="1:6" x14ac:dyDescent="0.3">
      <c r="A165" s="17">
        <f>IF(tips!A165="Male",1,0)</f>
        <v>1</v>
      </c>
      <c r="B165" s="19">
        <f>IF(tips!C165="Yes",1,0)</f>
        <v>0</v>
      </c>
      <c r="C165" s="21">
        <f>IF(tips!E165="Thur",1,IF(tips!E165="Fri",2,IF(tips!E165="Sat",3,4)))</f>
        <v>4</v>
      </c>
      <c r="D165" s="23">
        <f>IF(tips!G165="Dinner",1,0)</f>
        <v>1</v>
      </c>
      <c r="E165" s="24">
        <v>2</v>
      </c>
      <c r="F165" s="24">
        <v>13.81</v>
      </c>
    </row>
    <row r="166" spans="1:6" x14ac:dyDescent="0.3">
      <c r="A166" s="17">
        <f>IF(tips!A166="Male",1,0)</f>
        <v>0</v>
      </c>
      <c r="B166" s="19">
        <f>IF(tips!C166="Yes",1,0)</f>
        <v>1</v>
      </c>
      <c r="C166" s="21">
        <f>IF(tips!E166="Thur",1,IF(tips!E166="Fri",2,IF(tips!E166="Sat",3,4)))</f>
        <v>4</v>
      </c>
      <c r="D166" s="23">
        <f>IF(tips!G166="Dinner",1,0)</f>
        <v>1</v>
      </c>
      <c r="E166" s="24">
        <v>2</v>
      </c>
      <c r="F166" s="24">
        <v>17.510000000000002</v>
      </c>
    </row>
    <row r="167" spans="1:6" x14ac:dyDescent="0.3">
      <c r="A167" s="17">
        <f>IF(tips!A167="Male",1,0)</f>
        <v>1</v>
      </c>
      <c r="B167" s="19">
        <f>IF(tips!C167="Yes",1,0)</f>
        <v>0</v>
      </c>
      <c r="C167" s="21">
        <f>IF(tips!E167="Thur",1,IF(tips!E167="Fri",2,IF(tips!E167="Sat",3,4)))</f>
        <v>4</v>
      </c>
      <c r="D167" s="23">
        <f>IF(tips!G167="Dinner",1,0)</f>
        <v>1</v>
      </c>
      <c r="E167" s="24">
        <v>3</v>
      </c>
      <c r="F167" s="24">
        <v>24.52</v>
      </c>
    </row>
    <row r="168" spans="1:6" x14ac:dyDescent="0.3">
      <c r="A168" s="17">
        <f>IF(tips!A168="Male",1,0)</f>
        <v>1</v>
      </c>
      <c r="B168" s="19">
        <f>IF(tips!C168="Yes",1,0)</f>
        <v>0</v>
      </c>
      <c r="C168" s="21">
        <f>IF(tips!E168="Thur",1,IF(tips!E168="Fri",2,IF(tips!E168="Sat",3,4)))</f>
        <v>4</v>
      </c>
      <c r="D168" s="23">
        <f>IF(tips!G168="Dinner",1,0)</f>
        <v>1</v>
      </c>
      <c r="E168" s="24">
        <v>2</v>
      </c>
      <c r="F168" s="24">
        <v>20.76</v>
      </c>
    </row>
    <row r="169" spans="1:6" x14ac:dyDescent="0.3">
      <c r="A169" s="17">
        <f>IF(tips!A169="Male",1,0)</f>
        <v>1</v>
      </c>
      <c r="B169" s="19">
        <f>IF(tips!C169="Yes",1,0)</f>
        <v>0</v>
      </c>
      <c r="C169" s="21">
        <f>IF(tips!E169="Thur",1,IF(tips!E169="Fri",2,IF(tips!E169="Sat",3,4)))</f>
        <v>4</v>
      </c>
      <c r="D169" s="23">
        <f>IF(tips!G169="Dinner",1,0)</f>
        <v>1</v>
      </c>
      <c r="E169" s="24">
        <v>4</v>
      </c>
      <c r="F169" s="24">
        <v>31.71</v>
      </c>
    </row>
    <row r="170" spans="1:6" x14ac:dyDescent="0.3">
      <c r="A170" s="17">
        <f>IF(tips!A170="Male",1,0)</f>
        <v>0</v>
      </c>
      <c r="B170" s="19">
        <f>IF(tips!C170="Yes",1,0)</f>
        <v>1</v>
      </c>
      <c r="C170" s="21">
        <f>IF(tips!E170="Thur",1,IF(tips!E170="Fri",2,IF(tips!E170="Sat",3,4)))</f>
        <v>3</v>
      </c>
      <c r="D170" s="23">
        <f>IF(tips!G170="Dinner",1,0)</f>
        <v>1</v>
      </c>
      <c r="E170" s="24">
        <v>2</v>
      </c>
      <c r="F170" s="24">
        <v>10.59</v>
      </c>
    </row>
    <row r="171" spans="1:6" x14ac:dyDescent="0.3">
      <c r="A171" s="17">
        <f>IF(tips!A171="Male",1,0)</f>
        <v>0</v>
      </c>
      <c r="B171" s="19">
        <f>IF(tips!C171="Yes",1,0)</f>
        <v>1</v>
      </c>
      <c r="C171" s="21">
        <f>IF(tips!E171="Thur",1,IF(tips!E171="Fri",2,IF(tips!E171="Sat",3,4)))</f>
        <v>3</v>
      </c>
      <c r="D171" s="23">
        <f>IF(tips!G171="Dinner",1,0)</f>
        <v>1</v>
      </c>
      <c r="E171" s="24">
        <v>2</v>
      </c>
      <c r="F171" s="24">
        <v>10.63</v>
      </c>
    </row>
    <row r="172" spans="1:6" x14ac:dyDescent="0.3">
      <c r="A172" s="17">
        <f>IF(tips!A172="Male",1,0)</f>
        <v>1</v>
      </c>
      <c r="B172" s="19">
        <f>IF(tips!C172="Yes",1,0)</f>
        <v>1</v>
      </c>
      <c r="C172" s="21">
        <f>IF(tips!E172="Thur",1,IF(tips!E172="Fri",2,IF(tips!E172="Sat",3,4)))</f>
        <v>3</v>
      </c>
      <c r="D172" s="23">
        <f>IF(tips!G172="Dinner",1,0)</f>
        <v>1</v>
      </c>
      <c r="E172" s="24">
        <v>3</v>
      </c>
      <c r="F172" s="24">
        <v>50.81</v>
      </c>
    </row>
    <row r="173" spans="1:6" x14ac:dyDescent="0.3">
      <c r="A173" s="17">
        <f>IF(tips!A173="Male",1,0)</f>
        <v>1</v>
      </c>
      <c r="B173" s="19">
        <f>IF(tips!C173="Yes",1,0)</f>
        <v>1</v>
      </c>
      <c r="C173" s="21">
        <f>IF(tips!E173="Thur",1,IF(tips!E173="Fri",2,IF(tips!E173="Sat",3,4)))</f>
        <v>3</v>
      </c>
      <c r="D173" s="23">
        <f>IF(tips!G173="Dinner",1,0)</f>
        <v>1</v>
      </c>
      <c r="E173" s="24">
        <v>2</v>
      </c>
      <c r="F173" s="24">
        <v>15.81</v>
      </c>
    </row>
    <row r="174" spans="1:6" x14ac:dyDescent="0.3">
      <c r="A174" s="17">
        <f>IF(tips!A174="Male",1,0)</f>
        <v>1</v>
      </c>
      <c r="B174" s="19">
        <f>IF(tips!C174="Yes",1,0)</f>
        <v>1</v>
      </c>
      <c r="C174" s="21">
        <f>IF(tips!E174="Thur",1,IF(tips!E174="Fri",2,IF(tips!E174="Sat",3,4)))</f>
        <v>4</v>
      </c>
      <c r="D174" s="23">
        <f>IF(tips!G174="Dinner",1,0)</f>
        <v>1</v>
      </c>
      <c r="E174" s="24">
        <v>2</v>
      </c>
      <c r="F174" s="24">
        <v>7.25</v>
      </c>
    </row>
    <row r="175" spans="1:6" x14ac:dyDescent="0.3">
      <c r="A175" s="17">
        <f>IF(tips!A175="Male",1,0)</f>
        <v>1</v>
      </c>
      <c r="B175" s="19">
        <f>IF(tips!C175="Yes",1,0)</f>
        <v>1</v>
      </c>
      <c r="C175" s="21">
        <f>IF(tips!E175="Thur",1,IF(tips!E175="Fri",2,IF(tips!E175="Sat",3,4)))</f>
        <v>4</v>
      </c>
      <c r="D175" s="23">
        <f>IF(tips!G175="Dinner",1,0)</f>
        <v>1</v>
      </c>
      <c r="E175" s="24">
        <v>2</v>
      </c>
      <c r="F175" s="24">
        <v>31.85</v>
      </c>
    </row>
    <row r="176" spans="1:6" x14ac:dyDescent="0.3">
      <c r="A176" s="17">
        <f>IF(tips!A176="Male",1,0)</f>
        <v>1</v>
      </c>
      <c r="B176" s="19">
        <f>IF(tips!C176="Yes",1,0)</f>
        <v>1</v>
      </c>
      <c r="C176" s="21">
        <f>IF(tips!E176="Thur",1,IF(tips!E176="Fri",2,IF(tips!E176="Sat",3,4)))</f>
        <v>4</v>
      </c>
      <c r="D176" s="23">
        <f>IF(tips!G176="Dinner",1,0)</f>
        <v>1</v>
      </c>
      <c r="E176" s="24">
        <v>2</v>
      </c>
      <c r="F176" s="24">
        <v>16.82</v>
      </c>
    </row>
    <row r="177" spans="1:6" x14ac:dyDescent="0.3">
      <c r="A177" s="17">
        <f>IF(tips!A177="Male",1,0)</f>
        <v>1</v>
      </c>
      <c r="B177" s="19">
        <f>IF(tips!C177="Yes",1,0)</f>
        <v>1</v>
      </c>
      <c r="C177" s="21">
        <f>IF(tips!E177="Thur",1,IF(tips!E177="Fri",2,IF(tips!E177="Sat",3,4)))</f>
        <v>4</v>
      </c>
      <c r="D177" s="23">
        <f>IF(tips!G177="Dinner",1,0)</f>
        <v>1</v>
      </c>
      <c r="E177" s="24">
        <v>2</v>
      </c>
      <c r="F177" s="24">
        <v>32.9</v>
      </c>
    </row>
    <row r="178" spans="1:6" x14ac:dyDescent="0.3">
      <c r="A178" s="17">
        <f>IF(tips!A178="Male",1,0)</f>
        <v>1</v>
      </c>
      <c r="B178" s="19">
        <f>IF(tips!C178="Yes",1,0)</f>
        <v>1</v>
      </c>
      <c r="C178" s="21">
        <f>IF(tips!E178="Thur",1,IF(tips!E178="Fri",2,IF(tips!E178="Sat",3,4)))</f>
        <v>4</v>
      </c>
      <c r="D178" s="23">
        <f>IF(tips!G178="Dinner",1,0)</f>
        <v>1</v>
      </c>
      <c r="E178" s="24">
        <v>2</v>
      </c>
      <c r="F178" s="24">
        <v>17.89</v>
      </c>
    </row>
    <row r="179" spans="1:6" x14ac:dyDescent="0.3">
      <c r="A179" s="17">
        <f>IF(tips!A179="Male",1,0)</f>
        <v>1</v>
      </c>
      <c r="B179" s="19">
        <f>IF(tips!C179="Yes",1,0)</f>
        <v>1</v>
      </c>
      <c r="C179" s="21">
        <f>IF(tips!E179="Thur",1,IF(tips!E179="Fri",2,IF(tips!E179="Sat",3,4)))</f>
        <v>4</v>
      </c>
      <c r="D179" s="23">
        <f>IF(tips!G179="Dinner",1,0)</f>
        <v>1</v>
      </c>
      <c r="E179" s="24">
        <v>2</v>
      </c>
      <c r="F179" s="24">
        <v>14.48</v>
      </c>
    </row>
    <row r="180" spans="1:6" x14ac:dyDescent="0.3">
      <c r="A180" s="17">
        <f>IF(tips!A180="Male",1,0)</f>
        <v>0</v>
      </c>
      <c r="B180" s="19">
        <f>IF(tips!C180="Yes",1,0)</f>
        <v>1</v>
      </c>
      <c r="C180" s="21">
        <f>IF(tips!E180="Thur",1,IF(tips!E180="Fri",2,IF(tips!E180="Sat",3,4)))</f>
        <v>4</v>
      </c>
      <c r="D180" s="23">
        <f>IF(tips!G180="Dinner",1,0)</f>
        <v>1</v>
      </c>
      <c r="E180" s="24">
        <v>2</v>
      </c>
      <c r="F180" s="24">
        <v>9.6</v>
      </c>
    </row>
    <row r="181" spans="1:6" x14ac:dyDescent="0.3">
      <c r="A181" s="17">
        <f>IF(tips!A181="Male",1,0)</f>
        <v>1</v>
      </c>
      <c r="B181" s="19">
        <f>IF(tips!C181="Yes",1,0)</f>
        <v>1</v>
      </c>
      <c r="C181" s="21">
        <f>IF(tips!E181="Thur",1,IF(tips!E181="Fri",2,IF(tips!E181="Sat",3,4)))</f>
        <v>4</v>
      </c>
      <c r="D181" s="23">
        <f>IF(tips!G181="Dinner",1,0)</f>
        <v>1</v>
      </c>
      <c r="E181" s="24">
        <v>2</v>
      </c>
      <c r="F181" s="24">
        <v>34.630000000000003</v>
      </c>
    </row>
    <row r="182" spans="1:6" x14ac:dyDescent="0.3">
      <c r="A182" s="17">
        <f>IF(tips!A182="Male",1,0)</f>
        <v>1</v>
      </c>
      <c r="B182" s="19">
        <f>IF(tips!C182="Yes",1,0)</f>
        <v>1</v>
      </c>
      <c r="C182" s="21">
        <f>IF(tips!E182="Thur",1,IF(tips!E182="Fri",2,IF(tips!E182="Sat",3,4)))</f>
        <v>4</v>
      </c>
      <c r="D182" s="23">
        <f>IF(tips!G182="Dinner",1,0)</f>
        <v>1</v>
      </c>
      <c r="E182" s="24">
        <v>4</v>
      </c>
      <c r="F182" s="24">
        <v>34.65</v>
      </c>
    </row>
    <row r="183" spans="1:6" x14ac:dyDescent="0.3">
      <c r="A183" s="17">
        <f>IF(tips!A183="Male",1,0)</f>
        <v>1</v>
      </c>
      <c r="B183" s="19">
        <f>IF(tips!C183="Yes",1,0)</f>
        <v>1</v>
      </c>
      <c r="C183" s="21">
        <f>IF(tips!E183="Thur",1,IF(tips!E183="Fri",2,IF(tips!E183="Sat",3,4)))</f>
        <v>4</v>
      </c>
      <c r="D183" s="23">
        <f>IF(tips!G183="Dinner",1,0)</f>
        <v>1</v>
      </c>
      <c r="E183" s="24">
        <v>2</v>
      </c>
      <c r="F183" s="24">
        <v>23.33</v>
      </c>
    </row>
    <row r="184" spans="1:6" x14ac:dyDescent="0.3">
      <c r="A184" s="17">
        <f>IF(tips!A184="Male",1,0)</f>
        <v>1</v>
      </c>
      <c r="B184" s="19">
        <f>IF(tips!C184="Yes",1,0)</f>
        <v>1</v>
      </c>
      <c r="C184" s="21">
        <f>IF(tips!E184="Thur",1,IF(tips!E184="Fri",2,IF(tips!E184="Sat",3,4)))</f>
        <v>4</v>
      </c>
      <c r="D184" s="23">
        <f>IF(tips!G184="Dinner",1,0)</f>
        <v>1</v>
      </c>
      <c r="E184" s="24">
        <v>3</v>
      </c>
      <c r="F184" s="24">
        <v>45.35</v>
      </c>
    </row>
    <row r="185" spans="1:6" x14ac:dyDescent="0.3">
      <c r="A185" s="17">
        <f>IF(tips!A185="Male",1,0)</f>
        <v>1</v>
      </c>
      <c r="B185" s="19">
        <f>IF(tips!C185="Yes",1,0)</f>
        <v>1</v>
      </c>
      <c r="C185" s="21">
        <f>IF(tips!E185="Thur",1,IF(tips!E185="Fri",2,IF(tips!E185="Sat",3,4)))</f>
        <v>4</v>
      </c>
      <c r="D185" s="23">
        <f>IF(tips!G185="Dinner",1,0)</f>
        <v>1</v>
      </c>
      <c r="E185" s="24">
        <v>4</v>
      </c>
      <c r="F185" s="24">
        <v>23.17</v>
      </c>
    </row>
    <row r="186" spans="1:6" x14ac:dyDescent="0.3">
      <c r="A186" s="17">
        <f>IF(tips!A186="Male",1,0)</f>
        <v>1</v>
      </c>
      <c r="B186" s="19">
        <f>IF(tips!C186="Yes",1,0)</f>
        <v>1</v>
      </c>
      <c r="C186" s="21">
        <f>IF(tips!E186="Thur",1,IF(tips!E186="Fri",2,IF(tips!E186="Sat",3,4)))</f>
        <v>4</v>
      </c>
      <c r="D186" s="23">
        <f>IF(tips!G186="Dinner",1,0)</f>
        <v>1</v>
      </c>
      <c r="E186" s="24">
        <v>2</v>
      </c>
      <c r="F186" s="24">
        <v>40.549999999999997</v>
      </c>
    </row>
    <row r="187" spans="1:6" x14ac:dyDescent="0.3">
      <c r="A187" s="17">
        <f>IF(tips!A187="Male",1,0)</f>
        <v>1</v>
      </c>
      <c r="B187" s="19">
        <f>IF(tips!C187="Yes",1,0)</f>
        <v>0</v>
      </c>
      <c r="C187" s="21">
        <f>IF(tips!E187="Thur",1,IF(tips!E187="Fri",2,IF(tips!E187="Sat",3,4)))</f>
        <v>4</v>
      </c>
      <c r="D187" s="23">
        <f>IF(tips!G187="Dinner",1,0)</f>
        <v>1</v>
      </c>
      <c r="E187" s="24">
        <v>5</v>
      </c>
      <c r="F187" s="24">
        <v>20.69</v>
      </c>
    </row>
    <row r="188" spans="1:6" x14ac:dyDescent="0.3">
      <c r="A188" s="17">
        <f>IF(tips!A188="Male",1,0)</f>
        <v>0</v>
      </c>
      <c r="B188" s="19">
        <f>IF(tips!C188="Yes",1,0)</f>
        <v>1</v>
      </c>
      <c r="C188" s="21">
        <f>IF(tips!E188="Thur",1,IF(tips!E188="Fri",2,IF(tips!E188="Sat",3,4)))</f>
        <v>4</v>
      </c>
      <c r="D188" s="23">
        <f>IF(tips!G188="Dinner",1,0)</f>
        <v>1</v>
      </c>
      <c r="E188" s="24">
        <v>3</v>
      </c>
      <c r="F188" s="24">
        <v>20.9</v>
      </c>
    </row>
    <row r="189" spans="1:6" x14ac:dyDescent="0.3">
      <c r="A189" s="17">
        <f>IF(tips!A189="Male",1,0)</f>
        <v>1</v>
      </c>
      <c r="B189" s="19">
        <f>IF(tips!C189="Yes",1,0)</f>
        <v>1</v>
      </c>
      <c r="C189" s="21">
        <f>IF(tips!E189="Thur",1,IF(tips!E189="Fri",2,IF(tips!E189="Sat",3,4)))</f>
        <v>4</v>
      </c>
      <c r="D189" s="23">
        <f>IF(tips!G189="Dinner",1,0)</f>
        <v>1</v>
      </c>
      <c r="E189" s="24">
        <v>5</v>
      </c>
      <c r="F189" s="24">
        <v>30.46</v>
      </c>
    </row>
    <row r="190" spans="1:6" x14ac:dyDescent="0.3">
      <c r="A190" s="17">
        <f>IF(tips!A190="Male",1,0)</f>
        <v>0</v>
      </c>
      <c r="B190" s="19">
        <f>IF(tips!C190="Yes",1,0)</f>
        <v>1</v>
      </c>
      <c r="C190" s="21">
        <f>IF(tips!E190="Thur",1,IF(tips!E190="Fri",2,IF(tips!E190="Sat",3,4)))</f>
        <v>4</v>
      </c>
      <c r="D190" s="23">
        <f>IF(tips!G190="Dinner",1,0)</f>
        <v>1</v>
      </c>
      <c r="E190" s="24">
        <v>3</v>
      </c>
      <c r="F190" s="24">
        <v>18.149999999999999</v>
      </c>
    </row>
    <row r="191" spans="1:6" x14ac:dyDescent="0.3">
      <c r="A191" s="17">
        <f>IF(tips!A191="Male",1,0)</f>
        <v>1</v>
      </c>
      <c r="B191" s="19">
        <f>IF(tips!C191="Yes",1,0)</f>
        <v>1</v>
      </c>
      <c r="C191" s="21">
        <f>IF(tips!E191="Thur",1,IF(tips!E191="Fri",2,IF(tips!E191="Sat",3,4)))</f>
        <v>4</v>
      </c>
      <c r="D191" s="23">
        <f>IF(tips!G191="Dinner",1,0)</f>
        <v>1</v>
      </c>
      <c r="E191" s="24">
        <v>3</v>
      </c>
      <c r="F191" s="24">
        <v>23.1</v>
      </c>
    </row>
    <row r="192" spans="1:6" x14ac:dyDescent="0.3">
      <c r="A192" s="17">
        <f>IF(tips!A192="Male",1,0)</f>
        <v>1</v>
      </c>
      <c r="B192" s="19">
        <f>IF(tips!C192="Yes",1,0)</f>
        <v>1</v>
      </c>
      <c r="C192" s="21">
        <f>IF(tips!E192="Thur",1,IF(tips!E192="Fri",2,IF(tips!E192="Sat",3,4)))</f>
        <v>4</v>
      </c>
      <c r="D192" s="23">
        <f>IF(tips!G192="Dinner",1,0)</f>
        <v>1</v>
      </c>
      <c r="E192" s="24">
        <v>2</v>
      </c>
      <c r="F192" s="24">
        <v>15.69</v>
      </c>
    </row>
    <row r="193" spans="1:6" x14ac:dyDescent="0.3">
      <c r="A193" s="17">
        <f>IF(tips!A193="Male",1,0)</f>
        <v>0</v>
      </c>
      <c r="B193" s="19">
        <f>IF(tips!C193="Yes",1,0)</f>
        <v>1</v>
      </c>
      <c r="C193" s="21">
        <f>IF(tips!E193="Thur",1,IF(tips!E193="Fri",2,IF(tips!E193="Sat",3,4)))</f>
        <v>1</v>
      </c>
      <c r="D193" s="23">
        <f>IF(tips!G193="Dinner",1,0)</f>
        <v>0</v>
      </c>
      <c r="E193" s="24">
        <v>2</v>
      </c>
      <c r="F193" s="24">
        <v>19.809999999999999</v>
      </c>
    </row>
    <row r="194" spans="1:6" x14ac:dyDescent="0.3">
      <c r="A194" s="17">
        <f>IF(tips!A194="Male",1,0)</f>
        <v>1</v>
      </c>
      <c r="B194" s="19">
        <f>IF(tips!C194="Yes",1,0)</f>
        <v>1</v>
      </c>
      <c r="C194" s="21">
        <f>IF(tips!E194="Thur",1,IF(tips!E194="Fri",2,IF(tips!E194="Sat",3,4)))</f>
        <v>1</v>
      </c>
      <c r="D194" s="23">
        <f>IF(tips!G194="Dinner",1,0)</f>
        <v>0</v>
      </c>
      <c r="E194" s="24">
        <v>2</v>
      </c>
      <c r="F194" s="24">
        <v>28.44</v>
      </c>
    </row>
    <row r="195" spans="1:6" x14ac:dyDescent="0.3">
      <c r="A195" s="17">
        <f>IF(tips!A195="Male",1,0)</f>
        <v>1</v>
      </c>
      <c r="B195" s="19">
        <f>IF(tips!C195="Yes",1,0)</f>
        <v>1</v>
      </c>
      <c r="C195" s="21">
        <f>IF(tips!E195="Thur",1,IF(tips!E195="Fri",2,IF(tips!E195="Sat",3,4)))</f>
        <v>1</v>
      </c>
      <c r="D195" s="23">
        <f>IF(tips!G195="Dinner",1,0)</f>
        <v>0</v>
      </c>
      <c r="E195" s="24">
        <v>2</v>
      </c>
      <c r="F195" s="24">
        <v>15.48</v>
      </c>
    </row>
    <row r="196" spans="1:6" x14ac:dyDescent="0.3">
      <c r="A196" s="17">
        <f>IF(tips!A196="Male",1,0)</f>
        <v>1</v>
      </c>
      <c r="B196" s="19">
        <f>IF(tips!C196="Yes",1,0)</f>
        <v>1</v>
      </c>
      <c r="C196" s="21">
        <f>IF(tips!E196="Thur",1,IF(tips!E196="Fri",2,IF(tips!E196="Sat",3,4)))</f>
        <v>1</v>
      </c>
      <c r="D196" s="23">
        <f>IF(tips!G196="Dinner",1,0)</f>
        <v>0</v>
      </c>
      <c r="E196" s="24">
        <v>2</v>
      </c>
      <c r="F196" s="24">
        <v>16.579999999999998</v>
      </c>
    </row>
    <row r="197" spans="1:6" x14ac:dyDescent="0.3">
      <c r="A197" s="17">
        <f>IF(tips!A197="Male",1,0)</f>
        <v>1</v>
      </c>
      <c r="B197" s="19">
        <f>IF(tips!C197="Yes",1,0)</f>
        <v>0</v>
      </c>
      <c r="C197" s="21">
        <f>IF(tips!E197="Thur",1,IF(tips!E197="Fri",2,IF(tips!E197="Sat",3,4)))</f>
        <v>1</v>
      </c>
      <c r="D197" s="23">
        <f>IF(tips!G197="Dinner",1,0)</f>
        <v>0</v>
      </c>
      <c r="E197" s="24">
        <v>2</v>
      </c>
      <c r="F197" s="24">
        <v>7.56</v>
      </c>
    </row>
    <row r="198" spans="1:6" x14ac:dyDescent="0.3">
      <c r="A198" s="17">
        <f>IF(tips!A198="Male",1,0)</f>
        <v>1</v>
      </c>
      <c r="B198" s="19">
        <f>IF(tips!C198="Yes",1,0)</f>
        <v>1</v>
      </c>
      <c r="C198" s="21">
        <f>IF(tips!E198="Thur",1,IF(tips!E198="Fri",2,IF(tips!E198="Sat",3,4)))</f>
        <v>1</v>
      </c>
      <c r="D198" s="23">
        <f>IF(tips!G198="Dinner",1,0)</f>
        <v>0</v>
      </c>
      <c r="E198" s="24">
        <v>2</v>
      </c>
      <c r="F198" s="24">
        <v>10.34</v>
      </c>
    </row>
    <row r="199" spans="1:6" x14ac:dyDescent="0.3">
      <c r="A199" s="17">
        <f>IF(tips!A199="Male",1,0)</f>
        <v>0</v>
      </c>
      <c r="B199" s="19">
        <f>IF(tips!C199="Yes",1,0)</f>
        <v>1</v>
      </c>
      <c r="C199" s="21">
        <f>IF(tips!E199="Thur",1,IF(tips!E199="Fri",2,IF(tips!E199="Sat",3,4)))</f>
        <v>1</v>
      </c>
      <c r="D199" s="23">
        <f>IF(tips!G199="Dinner",1,0)</f>
        <v>0</v>
      </c>
      <c r="E199" s="24">
        <v>4</v>
      </c>
      <c r="F199" s="24">
        <v>43.11</v>
      </c>
    </row>
    <row r="200" spans="1:6" x14ac:dyDescent="0.3">
      <c r="A200" s="17">
        <f>IF(tips!A200="Male",1,0)</f>
        <v>0</v>
      </c>
      <c r="B200" s="19">
        <f>IF(tips!C200="Yes",1,0)</f>
        <v>1</v>
      </c>
      <c r="C200" s="21">
        <f>IF(tips!E200="Thur",1,IF(tips!E200="Fri",2,IF(tips!E200="Sat",3,4)))</f>
        <v>1</v>
      </c>
      <c r="D200" s="23">
        <f>IF(tips!G200="Dinner",1,0)</f>
        <v>0</v>
      </c>
      <c r="E200" s="24">
        <v>2</v>
      </c>
      <c r="F200" s="24">
        <v>13</v>
      </c>
    </row>
    <row r="201" spans="1:6" x14ac:dyDescent="0.3">
      <c r="A201" s="17">
        <f>IF(tips!A201="Male",1,0)</f>
        <v>1</v>
      </c>
      <c r="B201" s="19">
        <f>IF(tips!C201="Yes",1,0)</f>
        <v>1</v>
      </c>
      <c r="C201" s="21">
        <f>IF(tips!E201="Thur",1,IF(tips!E201="Fri",2,IF(tips!E201="Sat",3,4)))</f>
        <v>1</v>
      </c>
      <c r="D201" s="23">
        <f>IF(tips!G201="Dinner",1,0)</f>
        <v>0</v>
      </c>
      <c r="E201" s="24">
        <v>2</v>
      </c>
      <c r="F201" s="24">
        <v>13.51</v>
      </c>
    </row>
    <row r="202" spans="1:6" x14ac:dyDescent="0.3">
      <c r="A202" s="17">
        <f>IF(tips!A202="Male",1,0)</f>
        <v>1</v>
      </c>
      <c r="B202" s="19">
        <f>IF(tips!C202="Yes",1,0)</f>
        <v>1</v>
      </c>
      <c r="C202" s="21">
        <f>IF(tips!E202="Thur",1,IF(tips!E202="Fri",2,IF(tips!E202="Sat",3,4)))</f>
        <v>1</v>
      </c>
      <c r="D202" s="23">
        <f>IF(tips!G202="Dinner",1,0)</f>
        <v>0</v>
      </c>
      <c r="E202" s="24">
        <v>3</v>
      </c>
      <c r="F202" s="24">
        <v>18.71</v>
      </c>
    </row>
    <row r="203" spans="1:6" x14ac:dyDescent="0.3">
      <c r="A203" s="17">
        <f>IF(tips!A203="Male",1,0)</f>
        <v>0</v>
      </c>
      <c r="B203" s="19">
        <f>IF(tips!C203="Yes",1,0)</f>
        <v>1</v>
      </c>
      <c r="C203" s="21">
        <f>IF(tips!E203="Thur",1,IF(tips!E203="Fri",2,IF(tips!E203="Sat",3,4)))</f>
        <v>1</v>
      </c>
      <c r="D203" s="23">
        <f>IF(tips!G203="Dinner",1,0)</f>
        <v>0</v>
      </c>
      <c r="E203" s="24">
        <v>2</v>
      </c>
      <c r="F203" s="24">
        <v>12.74</v>
      </c>
    </row>
    <row r="204" spans="1:6" x14ac:dyDescent="0.3">
      <c r="A204" s="17">
        <f>IF(tips!A204="Male",1,0)</f>
        <v>0</v>
      </c>
      <c r="B204" s="19">
        <f>IF(tips!C204="Yes",1,0)</f>
        <v>1</v>
      </c>
      <c r="C204" s="21">
        <f>IF(tips!E204="Thur",1,IF(tips!E204="Fri",2,IF(tips!E204="Sat",3,4)))</f>
        <v>1</v>
      </c>
      <c r="D204" s="23">
        <f>IF(tips!G204="Dinner",1,0)</f>
        <v>0</v>
      </c>
      <c r="E204" s="24">
        <v>2</v>
      </c>
      <c r="F204" s="24">
        <v>16.399999999999999</v>
      </c>
    </row>
    <row r="205" spans="1:6" x14ac:dyDescent="0.3">
      <c r="A205" s="17">
        <f>IF(tips!A205="Male",1,0)</f>
        <v>1</v>
      </c>
      <c r="B205" s="19">
        <f>IF(tips!C205="Yes",1,0)</f>
        <v>1</v>
      </c>
      <c r="C205" s="21">
        <f>IF(tips!E205="Thur",1,IF(tips!E205="Fri",2,IF(tips!E205="Sat",3,4)))</f>
        <v>1</v>
      </c>
      <c r="D205" s="23">
        <f>IF(tips!G205="Dinner",1,0)</f>
        <v>0</v>
      </c>
      <c r="E205" s="24">
        <v>4</v>
      </c>
      <c r="F205" s="24">
        <v>20.53</v>
      </c>
    </row>
    <row r="206" spans="1:6" x14ac:dyDescent="0.3">
      <c r="A206" s="17">
        <f>IF(tips!A206="Male",1,0)</f>
        <v>0</v>
      </c>
      <c r="B206" s="19">
        <f>IF(tips!C206="Yes",1,0)</f>
        <v>1</v>
      </c>
      <c r="C206" s="21">
        <f>IF(tips!E206="Thur",1,IF(tips!E206="Fri",2,IF(tips!E206="Sat",3,4)))</f>
        <v>1</v>
      </c>
      <c r="D206" s="23">
        <f>IF(tips!G206="Dinner",1,0)</f>
        <v>0</v>
      </c>
      <c r="E206" s="24">
        <v>3</v>
      </c>
      <c r="F206" s="24">
        <v>16.47</v>
      </c>
    </row>
    <row r="207" spans="1:6" x14ac:dyDescent="0.3">
      <c r="A207" s="17">
        <f>IF(tips!A207="Male",1,0)</f>
        <v>1</v>
      </c>
      <c r="B207" s="19">
        <f>IF(tips!C207="Yes",1,0)</f>
        <v>1</v>
      </c>
      <c r="C207" s="21">
        <f>IF(tips!E207="Thur",1,IF(tips!E207="Fri",2,IF(tips!E207="Sat",3,4)))</f>
        <v>3</v>
      </c>
      <c r="D207" s="23">
        <f>IF(tips!G207="Dinner",1,0)</f>
        <v>1</v>
      </c>
      <c r="E207" s="24">
        <v>3</v>
      </c>
      <c r="F207" s="24">
        <v>26.59</v>
      </c>
    </row>
    <row r="208" spans="1:6" x14ac:dyDescent="0.3">
      <c r="A208" s="17">
        <f>IF(tips!A208="Male",1,0)</f>
        <v>1</v>
      </c>
      <c r="B208" s="19">
        <f>IF(tips!C208="Yes",1,0)</f>
        <v>1</v>
      </c>
      <c r="C208" s="21">
        <f>IF(tips!E208="Thur",1,IF(tips!E208="Fri",2,IF(tips!E208="Sat",3,4)))</f>
        <v>3</v>
      </c>
      <c r="D208" s="23">
        <f>IF(tips!G208="Dinner",1,0)</f>
        <v>1</v>
      </c>
      <c r="E208" s="24">
        <v>4</v>
      </c>
      <c r="F208" s="24">
        <v>38.729999999999997</v>
      </c>
    </row>
    <row r="209" spans="1:6" x14ac:dyDescent="0.3">
      <c r="A209" s="17">
        <f>IF(tips!A209="Male",1,0)</f>
        <v>1</v>
      </c>
      <c r="B209" s="19">
        <f>IF(tips!C209="Yes",1,0)</f>
        <v>1</v>
      </c>
      <c r="C209" s="21">
        <f>IF(tips!E209="Thur",1,IF(tips!E209="Fri",2,IF(tips!E209="Sat",3,4)))</f>
        <v>3</v>
      </c>
      <c r="D209" s="23">
        <f>IF(tips!G209="Dinner",1,0)</f>
        <v>1</v>
      </c>
      <c r="E209" s="24">
        <v>2</v>
      </c>
      <c r="F209" s="24">
        <v>24.27</v>
      </c>
    </row>
    <row r="210" spans="1:6" x14ac:dyDescent="0.3">
      <c r="A210" s="17">
        <f>IF(tips!A210="Male",1,0)</f>
        <v>0</v>
      </c>
      <c r="B210" s="19">
        <f>IF(tips!C210="Yes",1,0)</f>
        <v>1</v>
      </c>
      <c r="C210" s="21">
        <f>IF(tips!E210="Thur",1,IF(tips!E210="Fri",2,IF(tips!E210="Sat",3,4)))</f>
        <v>3</v>
      </c>
      <c r="D210" s="23">
        <f>IF(tips!G210="Dinner",1,0)</f>
        <v>1</v>
      </c>
      <c r="E210" s="24">
        <v>2</v>
      </c>
      <c r="F210" s="24">
        <v>12.76</v>
      </c>
    </row>
    <row r="211" spans="1:6" x14ac:dyDescent="0.3">
      <c r="A211" s="17">
        <f>IF(tips!A211="Male",1,0)</f>
        <v>1</v>
      </c>
      <c r="B211" s="19">
        <f>IF(tips!C211="Yes",1,0)</f>
        <v>1</v>
      </c>
      <c r="C211" s="21">
        <f>IF(tips!E211="Thur",1,IF(tips!E211="Fri",2,IF(tips!E211="Sat",3,4)))</f>
        <v>3</v>
      </c>
      <c r="D211" s="23">
        <f>IF(tips!G211="Dinner",1,0)</f>
        <v>1</v>
      </c>
      <c r="E211" s="24">
        <v>3</v>
      </c>
      <c r="F211" s="24">
        <v>30.06</v>
      </c>
    </row>
    <row r="212" spans="1:6" x14ac:dyDescent="0.3">
      <c r="A212" s="17">
        <f>IF(tips!A212="Male",1,0)</f>
        <v>1</v>
      </c>
      <c r="B212" s="19">
        <f>IF(tips!C212="Yes",1,0)</f>
        <v>1</v>
      </c>
      <c r="C212" s="21">
        <f>IF(tips!E212="Thur",1,IF(tips!E212="Fri",2,IF(tips!E212="Sat",3,4)))</f>
        <v>3</v>
      </c>
      <c r="D212" s="23">
        <f>IF(tips!G212="Dinner",1,0)</f>
        <v>1</v>
      </c>
      <c r="E212" s="24">
        <v>4</v>
      </c>
      <c r="F212" s="24">
        <v>25.89</v>
      </c>
    </row>
    <row r="213" spans="1:6" x14ac:dyDescent="0.3">
      <c r="A213" s="17">
        <f>IF(tips!A213="Male",1,0)</f>
        <v>1</v>
      </c>
      <c r="B213" s="19">
        <f>IF(tips!C213="Yes",1,0)</f>
        <v>0</v>
      </c>
      <c r="C213" s="21">
        <f>IF(tips!E213="Thur",1,IF(tips!E213="Fri",2,IF(tips!E213="Sat",3,4)))</f>
        <v>3</v>
      </c>
      <c r="D213" s="23">
        <f>IF(tips!G213="Dinner",1,0)</f>
        <v>1</v>
      </c>
      <c r="E213" s="24">
        <v>4</v>
      </c>
      <c r="F213" s="24">
        <v>48.33</v>
      </c>
    </row>
    <row r="214" spans="1:6" x14ac:dyDescent="0.3">
      <c r="A214" s="17">
        <f>IF(tips!A214="Male",1,0)</f>
        <v>0</v>
      </c>
      <c r="B214" s="19">
        <f>IF(tips!C214="Yes",1,0)</f>
        <v>1</v>
      </c>
      <c r="C214" s="21">
        <f>IF(tips!E214="Thur",1,IF(tips!E214="Fri",2,IF(tips!E214="Sat",3,4)))</f>
        <v>3</v>
      </c>
      <c r="D214" s="23">
        <f>IF(tips!G214="Dinner",1,0)</f>
        <v>1</v>
      </c>
      <c r="E214" s="24">
        <v>2</v>
      </c>
      <c r="F214" s="24">
        <v>13.27</v>
      </c>
    </row>
    <row r="215" spans="1:6" x14ac:dyDescent="0.3">
      <c r="A215" s="17">
        <f>IF(tips!A215="Male",1,0)</f>
        <v>0</v>
      </c>
      <c r="B215" s="19">
        <f>IF(tips!C215="Yes",1,0)</f>
        <v>1</v>
      </c>
      <c r="C215" s="21">
        <f>IF(tips!E215="Thur",1,IF(tips!E215="Fri",2,IF(tips!E215="Sat",3,4)))</f>
        <v>3</v>
      </c>
      <c r="D215" s="23">
        <f>IF(tips!G215="Dinner",1,0)</f>
        <v>1</v>
      </c>
      <c r="E215" s="24">
        <v>3</v>
      </c>
      <c r="F215" s="24">
        <v>28.17</v>
      </c>
    </row>
    <row r="216" spans="1:6" x14ac:dyDescent="0.3">
      <c r="A216" s="17">
        <f>IF(tips!A216="Male",1,0)</f>
        <v>0</v>
      </c>
      <c r="B216" s="19">
        <f>IF(tips!C216="Yes",1,0)</f>
        <v>1</v>
      </c>
      <c r="C216" s="21">
        <f>IF(tips!E216="Thur",1,IF(tips!E216="Fri",2,IF(tips!E216="Sat",3,4)))</f>
        <v>3</v>
      </c>
      <c r="D216" s="23">
        <f>IF(tips!G216="Dinner",1,0)</f>
        <v>1</v>
      </c>
      <c r="E216" s="24">
        <v>2</v>
      </c>
      <c r="F216" s="24">
        <v>12.9</v>
      </c>
    </row>
    <row r="217" spans="1:6" x14ac:dyDescent="0.3">
      <c r="A217" s="17">
        <f>IF(tips!A217="Male",1,0)</f>
        <v>1</v>
      </c>
      <c r="B217" s="19">
        <f>IF(tips!C217="Yes",1,0)</f>
        <v>1</v>
      </c>
      <c r="C217" s="21">
        <f>IF(tips!E217="Thur",1,IF(tips!E217="Fri",2,IF(tips!E217="Sat",3,4)))</f>
        <v>3</v>
      </c>
      <c r="D217" s="23">
        <f>IF(tips!G217="Dinner",1,0)</f>
        <v>1</v>
      </c>
      <c r="E217" s="24">
        <v>5</v>
      </c>
      <c r="F217" s="24">
        <v>28.15</v>
      </c>
    </row>
    <row r="218" spans="1:6" x14ac:dyDescent="0.3">
      <c r="A218" s="17">
        <f>IF(tips!A218="Male",1,0)</f>
        <v>1</v>
      </c>
      <c r="B218" s="19">
        <f>IF(tips!C218="Yes",1,0)</f>
        <v>1</v>
      </c>
      <c r="C218" s="21">
        <f>IF(tips!E218="Thur",1,IF(tips!E218="Fri",2,IF(tips!E218="Sat",3,4)))</f>
        <v>3</v>
      </c>
      <c r="D218" s="23">
        <f>IF(tips!G218="Dinner",1,0)</f>
        <v>1</v>
      </c>
      <c r="E218" s="24">
        <v>2</v>
      </c>
      <c r="F218" s="24">
        <v>11.59</v>
      </c>
    </row>
    <row r="219" spans="1:6" x14ac:dyDescent="0.3">
      <c r="A219" s="17">
        <f>IF(tips!A219="Male",1,0)</f>
        <v>1</v>
      </c>
      <c r="B219" s="19">
        <f>IF(tips!C219="Yes",1,0)</f>
        <v>1</v>
      </c>
      <c r="C219" s="21">
        <f>IF(tips!E219="Thur",1,IF(tips!E219="Fri",2,IF(tips!E219="Sat",3,4)))</f>
        <v>3</v>
      </c>
      <c r="D219" s="23">
        <f>IF(tips!G219="Dinner",1,0)</f>
        <v>1</v>
      </c>
      <c r="E219" s="24">
        <v>2</v>
      </c>
      <c r="F219" s="24">
        <v>7.74</v>
      </c>
    </row>
    <row r="220" spans="1:6" x14ac:dyDescent="0.3">
      <c r="A220" s="17">
        <f>IF(tips!A220="Male",1,0)</f>
        <v>0</v>
      </c>
      <c r="B220" s="19">
        <f>IF(tips!C220="Yes",1,0)</f>
        <v>1</v>
      </c>
      <c r="C220" s="21">
        <f>IF(tips!E220="Thur",1,IF(tips!E220="Fri",2,IF(tips!E220="Sat",3,4)))</f>
        <v>3</v>
      </c>
      <c r="D220" s="23">
        <f>IF(tips!G220="Dinner",1,0)</f>
        <v>1</v>
      </c>
      <c r="E220" s="24">
        <v>4</v>
      </c>
      <c r="F220" s="24">
        <v>30.14</v>
      </c>
    </row>
    <row r="221" spans="1:6" x14ac:dyDescent="0.3">
      <c r="A221" s="17">
        <f>IF(tips!A221="Male",1,0)</f>
        <v>1</v>
      </c>
      <c r="B221" s="19">
        <f>IF(tips!C221="Yes",1,0)</f>
        <v>1</v>
      </c>
      <c r="C221" s="21">
        <f>IF(tips!E221="Thur",1,IF(tips!E221="Fri",2,IF(tips!E221="Sat",3,4)))</f>
        <v>2</v>
      </c>
      <c r="D221" s="23">
        <f>IF(tips!G221="Dinner",1,0)</f>
        <v>0</v>
      </c>
      <c r="E221" s="24">
        <v>2</v>
      </c>
      <c r="F221" s="24">
        <v>12.16</v>
      </c>
    </row>
    <row r="222" spans="1:6" x14ac:dyDescent="0.3">
      <c r="A222" s="17">
        <f>IF(tips!A222="Male",1,0)</f>
        <v>0</v>
      </c>
      <c r="B222" s="19">
        <f>IF(tips!C222="Yes",1,0)</f>
        <v>1</v>
      </c>
      <c r="C222" s="21">
        <f>IF(tips!E222="Thur",1,IF(tips!E222="Fri",2,IF(tips!E222="Sat",3,4)))</f>
        <v>2</v>
      </c>
      <c r="D222" s="23">
        <f>IF(tips!G222="Dinner",1,0)</f>
        <v>0</v>
      </c>
      <c r="E222" s="24">
        <v>2</v>
      </c>
      <c r="F222" s="24">
        <v>13.42</v>
      </c>
    </row>
    <row r="223" spans="1:6" x14ac:dyDescent="0.3">
      <c r="A223" s="17">
        <f>IF(tips!A223="Male",1,0)</f>
        <v>1</v>
      </c>
      <c r="B223" s="19">
        <f>IF(tips!C223="Yes",1,0)</f>
        <v>1</v>
      </c>
      <c r="C223" s="21">
        <f>IF(tips!E223="Thur",1,IF(tips!E223="Fri",2,IF(tips!E223="Sat",3,4)))</f>
        <v>2</v>
      </c>
      <c r="D223" s="23">
        <f>IF(tips!G223="Dinner",1,0)</f>
        <v>0</v>
      </c>
      <c r="E223" s="24">
        <v>1</v>
      </c>
      <c r="F223" s="24">
        <v>8.58</v>
      </c>
    </row>
    <row r="224" spans="1:6" x14ac:dyDescent="0.3">
      <c r="A224" s="17">
        <f>IF(tips!A224="Male",1,0)</f>
        <v>0</v>
      </c>
      <c r="B224" s="19">
        <f>IF(tips!C224="Yes",1,0)</f>
        <v>0</v>
      </c>
      <c r="C224" s="21">
        <f>IF(tips!E224="Thur",1,IF(tips!E224="Fri",2,IF(tips!E224="Sat",3,4)))</f>
        <v>2</v>
      </c>
      <c r="D224" s="23">
        <f>IF(tips!G224="Dinner",1,0)</f>
        <v>0</v>
      </c>
      <c r="E224" s="24">
        <v>3</v>
      </c>
      <c r="F224" s="24">
        <v>15.98</v>
      </c>
    </row>
    <row r="225" spans="1:6" x14ac:dyDescent="0.3">
      <c r="A225" s="17">
        <f>IF(tips!A225="Male",1,0)</f>
        <v>1</v>
      </c>
      <c r="B225" s="19">
        <f>IF(tips!C225="Yes",1,0)</f>
        <v>1</v>
      </c>
      <c r="C225" s="21">
        <f>IF(tips!E225="Thur",1,IF(tips!E225="Fri",2,IF(tips!E225="Sat",3,4)))</f>
        <v>2</v>
      </c>
      <c r="D225" s="23">
        <f>IF(tips!G225="Dinner",1,0)</f>
        <v>0</v>
      </c>
      <c r="E225" s="24">
        <v>2</v>
      </c>
      <c r="F225" s="24">
        <v>13.42</v>
      </c>
    </row>
    <row r="226" spans="1:6" x14ac:dyDescent="0.3">
      <c r="A226" s="17">
        <f>IF(tips!A226="Male",1,0)</f>
        <v>0</v>
      </c>
      <c r="B226" s="19">
        <f>IF(tips!C226="Yes",1,0)</f>
        <v>1</v>
      </c>
      <c r="C226" s="21">
        <f>IF(tips!E226="Thur",1,IF(tips!E226="Fri",2,IF(tips!E226="Sat",3,4)))</f>
        <v>2</v>
      </c>
      <c r="D226" s="23">
        <f>IF(tips!G226="Dinner",1,0)</f>
        <v>0</v>
      </c>
      <c r="E226" s="24">
        <v>2</v>
      </c>
      <c r="F226" s="24">
        <v>16.27</v>
      </c>
    </row>
    <row r="227" spans="1:6" x14ac:dyDescent="0.3">
      <c r="A227" s="17">
        <f>IF(tips!A227="Male",1,0)</f>
        <v>0</v>
      </c>
      <c r="B227" s="19">
        <f>IF(tips!C227="Yes",1,0)</f>
        <v>1</v>
      </c>
      <c r="C227" s="21">
        <f>IF(tips!E227="Thur",1,IF(tips!E227="Fri",2,IF(tips!E227="Sat",3,4)))</f>
        <v>2</v>
      </c>
      <c r="D227" s="23">
        <f>IF(tips!G227="Dinner",1,0)</f>
        <v>0</v>
      </c>
      <c r="E227" s="24">
        <v>2</v>
      </c>
      <c r="F227" s="24">
        <v>10.09</v>
      </c>
    </row>
    <row r="228" spans="1:6" x14ac:dyDescent="0.3">
      <c r="A228" s="17">
        <f>IF(tips!A228="Male",1,0)</f>
        <v>1</v>
      </c>
      <c r="B228" s="19">
        <f>IF(tips!C228="Yes",1,0)</f>
        <v>0</v>
      </c>
      <c r="C228" s="21">
        <f>IF(tips!E228="Thur",1,IF(tips!E228="Fri",2,IF(tips!E228="Sat",3,4)))</f>
        <v>3</v>
      </c>
      <c r="D228" s="23">
        <f>IF(tips!G228="Dinner",1,0)</f>
        <v>1</v>
      </c>
      <c r="E228" s="24">
        <v>4</v>
      </c>
      <c r="F228" s="24">
        <v>20.45</v>
      </c>
    </row>
    <row r="229" spans="1:6" x14ac:dyDescent="0.3">
      <c r="A229" s="17">
        <f>IF(tips!A229="Male",1,0)</f>
        <v>1</v>
      </c>
      <c r="B229" s="19">
        <f>IF(tips!C229="Yes",1,0)</f>
        <v>0</v>
      </c>
      <c r="C229" s="21">
        <f>IF(tips!E229="Thur",1,IF(tips!E229="Fri",2,IF(tips!E229="Sat",3,4)))</f>
        <v>3</v>
      </c>
      <c r="D229" s="23">
        <f>IF(tips!G229="Dinner",1,0)</f>
        <v>1</v>
      </c>
      <c r="E229" s="24">
        <v>2</v>
      </c>
      <c r="F229" s="24">
        <v>13.28</v>
      </c>
    </row>
    <row r="230" spans="1:6" x14ac:dyDescent="0.3">
      <c r="A230" s="17">
        <f>IF(tips!A230="Male",1,0)</f>
        <v>0</v>
      </c>
      <c r="B230" s="19">
        <f>IF(tips!C230="Yes",1,0)</f>
        <v>1</v>
      </c>
      <c r="C230" s="21">
        <f>IF(tips!E230="Thur",1,IF(tips!E230="Fri",2,IF(tips!E230="Sat",3,4)))</f>
        <v>3</v>
      </c>
      <c r="D230" s="23">
        <f>IF(tips!G230="Dinner",1,0)</f>
        <v>1</v>
      </c>
      <c r="E230" s="24">
        <v>2</v>
      </c>
      <c r="F230" s="24">
        <v>22.12</v>
      </c>
    </row>
    <row r="231" spans="1:6" x14ac:dyDescent="0.3">
      <c r="A231" s="17">
        <f>IF(tips!A231="Male",1,0)</f>
        <v>1</v>
      </c>
      <c r="B231" s="19">
        <f>IF(tips!C231="Yes",1,0)</f>
        <v>1</v>
      </c>
      <c r="C231" s="21">
        <f>IF(tips!E231="Thur",1,IF(tips!E231="Fri",2,IF(tips!E231="Sat",3,4)))</f>
        <v>3</v>
      </c>
      <c r="D231" s="23">
        <f>IF(tips!G231="Dinner",1,0)</f>
        <v>1</v>
      </c>
      <c r="E231" s="24">
        <v>4</v>
      </c>
      <c r="F231" s="24">
        <v>24.01</v>
      </c>
    </row>
    <row r="232" spans="1:6" x14ac:dyDescent="0.3">
      <c r="A232" s="17">
        <f>IF(tips!A232="Male",1,0)</f>
        <v>1</v>
      </c>
      <c r="B232" s="19">
        <f>IF(tips!C232="Yes",1,0)</f>
        <v>1</v>
      </c>
      <c r="C232" s="21">
        <f>IF(tips!E232="Thur",1,IF(tips!E232="Fri",2,IF(tips!E232="Sat",3,4)))</f>
        <v>3</v>
      </c>
      <c r="D232" s="23">
        <f>IF(tips!G232="Dinner",1,0)</f>
        <v>1</v>
      </c>
      <c r="E232" s="24">
        <v>3</v>
      </c>
      <c r="F232" s="24">
        <v>15.69</v>
      </c>
    </row>
    <row r="233" spans="1:6" x14ac:dyDescent="0.3">
      <c r="A233" s="17">
        <f>IF(tips!A233="Male",1,0)</f>
        <v>1</v>
      </c>
      <c r="B233" s="19">
        <f>IF(tips!C233="Yes",1,0)</f>
        <v>0</v>
      </c>
      <c r="C233" s="21">
        <f>IF(tips!E233="Thur",1,IF(tips!E233="Fri",2,IF(tips!E233="Sat",3,4)))</f>
        <v>3</v>
      </c>
      <c r="D233" s="23">
        <f>IF(tips!G233="Dinner",1,0)</f>
        <v>1</v>
      </c>
      <c r="E233" s="24">
        <v>2</v>
      </c>
      <c r="F233" s="24">
        <v>11.61</v>
      </c>
    </row>
    <row r="234" spans="1:6" x14ac:dyDescent="0.3">
      <c r="A234" s="17">
        <f>IF(tips!A234="Male",1,0)</f>
        <v>1</v>
      </c>
      <c r="B234" s="19">
        <f>IF(tips!C234="Yes",1,0)</f>
        <v>0</v>
      </c>
      <c r="C234" s="21">
        <f>IF(tips!E234="Thur",1,IF(tips!E234="Fri",2,IF(tips!E234="Sat",3,4)))</f>
        <v>3</v>
      </c>
      <c r="D234" s="23">
        <f>IF(tips!G234="Dinner",1,0)</f>
        <v>1</v>
      </c>
      <c r="E234" s="24">
        <v>2</v>
      </c>
      <c r="F234" s="24">
        <v>10.77</v>
      </c>
    </row>
    <row r="235" spans="1:6" x14ac:dyDescent="0.3">
      <c r="A235" s="17">
        <f>IF(tips!A235="Male",1,0)</f>
        <v>1</v>
      </c>
      <c r="B235" s="19">
        <f>IF(tips!C235="Yes",1,0)</f>
        <v>1</v>
      </c>
      <c r="C235" s="21">
        <f>IF(tips!E235="Thur",1,IF(tips!E235="Fri",2,IF(tips!E235="Sat",3,4)))</f>
        <v>3</v>
      </c>
      <c r="D235" s="23">
        <f>IF(tips!G235="Dinner",1,0)</f>
        <v>1</v>
      </c>
      <c r="E235" s="24">
        <v>2</v>
      </c>
      <c r="F235" s="24">
        <v>15.53</v>
      </c>
    </row>
    <row r="236" spans="1:6" x14ac:dyDescent="0.3">
      <c r="A236" s="17">
        <f>IF(tips!A236="Male",1,0)</f>
        <v>1</v>
      </c>
      <c r="B236" s="19">
        <f>IF(tips!C236="Yes",1,0)</f>
        <v>0</v>
      </c>
      <c r="C236" s="21">
        <f>IF(tips!E236="Thur",1,IF(tips!E236="Fri",2,IF(tips!E236="Sat",3,4)))</f>
        <v>3</v>
      </c>
      <c r="D236" s="23">
        <f>IF(tips!G236="Dinner",1,0)</f>
        <v>1</v>
      </c>
      <c r="E236" s="24">
        <v>2</v>
      </c>
      <c r="F236" s="24">
        <v>10.07</v>
      </c>
    </row>
    <row r="237" spans="1:6" x14ac:dyDescent="0.3">
      <c r="A237" s="17">
        <f>IF(tips!A237="Male",1,0)</f>
        <v>1</v>
      </c>
      <c r="B237" s="19">
        <f>IF(tips!C237="Yes",1,0)</f>
        <v>1</v>
      </c>
      <c r="C237" s="21">
        <f>IF(tips!E237="Thur",1,IF(tips!E237="Fri",2,IF(tips!E237="Sat",3,4)))</f>
        <v>3</v>
      </c>
      <c r="D237" s="23">
        <f>IF(tips!G237="Dinner",1,0)</f>
        <v>1</v>
      </c>
      <c r="E237" s="24">
        <v>2</v>
      </c>
      <c r="F237" s="24">
        <v>12.6</v>
      </c>
    </row>
    <row r="238" spans="1:6" x14ac:dyDescent="0.3">
      <c r="A238" s="17">
        <f>IF(tips!A238="Male",1,0)</f>
        <v>1</v>
      </c>
      <c r="B238" s="19">
        <f>IF(tips!C238="Yes",1,0)</f>
        <v>1</v>
      </c>
      <c r="C238" s="21">
        <f>IF(tips!E238="Thur",1,IF(tips!E238="Fri",2,IF(tips!E238="Sat",3,4)))</f>
        <v>3</v>
      </c>
      <c r="D238" s="23">
        <f>IF(tips!G238="Dinner",1,0)</f>
        <v>1</v>
      </c>
      <c r="E238" s="24">
        <v>2</v>
      </c>
      <c r="F238" s="24">
        <v>32.83</v>
      </c>
    </row>
    <row r="239" spans="1:6" x14ac:dyDescent="0.3">
      <c r="A239" s="17">
        <f>IF(tips!A239="Male",1,0)</f>
        <v>0</v>
      </c>
      <c r="B239" s="19">
        <f>IF(tips!C239="Yes",1,0)</f>
        <v>0</v>
      </c>
      <c r="C239" s="21">
        <f>IF(tips!E239="Thur",1,IF(tips!E239="Fri",2,IF(tips!E239="Sat",3,4)))</f>
        <v>3</v>
      </c>
      <c r="D239" s="23">
        <f>IF(tips!G239="Dinner",1,0)</f>
        <v>1</v>
      </c>
      <c r="E239" s="24">
        <v>3</v>
      </c>
      <c r="F239" s="24">
        <v>35.83</v>
      </c>
    </row>
    <row r="240" spans="1:6" x14ac:dyDescent="0.3">
      <c r="A240" s="17">
        <f>IF(tips!A240="Male",1,0)</f>
        <v>1</v>
      </c>
      <c r="B240" s="19">
        <f>IF(tips!C240="Yes",1,0)</f>
        <v>0</v>
      </c>
      <c r="C240" s="21">
        <f>IF(tips!E240="Thur",1,IF(tips!E240="Fri",2,IF(tips!E240="Sat",3,4)))</f>
        <v>3</v>
      </c>
      <c r="D240" s="23">
        <f>IF(tips!G240="Dinner",1,0)</f>
        <v>1</v>
      </c>
      <c r="E240" s="24">
        <v>3</v>
      </c>
      <c r="F240" s="24">
        <v>29.03</v>
      </c>
    </row>
    <row r="241" spans="1:6" x14ac:dyDescent="0.3">
      <c r="A241" s="17">
        <f>IF(tips!A241="Male",1,0)</f>
        <v>0</v>
      </c>
      <c r="B241" s="19">
        <f>IF(tips!C241="Yes",1,0)</f>
        <v>1</v>
      </c>
      <c r="C241" s="21">
        <f>IF(tips!E241="Thur",1,IF(tips!E241="Fri",2,IF(tips!E241="Sat",3,4)))</f>
        <v>3</v>
      </c>
      <c r="D241" s="23">
        <f>IF(tips!G241="Dinner",1,0)</f>
        <v>1</v>
      </c>
      <c r="E241" s="24">
        <v>2</v>
      </c>
      <c r="F241" s="24">
        <v>27.18</v>
      </c>
    </row>
    <row r="242" spans="1:6" x14ac:dyDescent="0.3">
      <c r="A242" s="17">
        <f>IF(tips!A242="Male",1,0)</f>
        <v>1</v>
      </c>
      <c r="B242" s="19">
        <f>IF(tips!C242="Yes",1,0)</f>
        <v>1</v>
      </c>
      <c r="C242" s="21">
        <f>IF(tips!E242="Thur",1,IF(tips!E242="Fri",2,IF(tips!E242="Sat",3,4)))</f>
        <v>3</v>
      </c>
      <c r="D242" s="23">
        <f>IF(tips!G242="Dinner",1,0)</f>
        <v>1</v>
      </c>
      <c r="E242" s="24">
        <v>2</v>
      </c>
      <c r="F242" s="24">
        <v>22.67</v>
      </c>
    </row>
    <row r="243" spans="1:6" x14ac:dyDescent="0.3">
      <c r="A243" s="17">
        <f>IF(tips!A243="Male",1,0)</f>
        <v>1</v>
      </c>
      <c r="B243" s="19">
        <f>IF(tips!C243="Yes",1,0)</f>
        <v>0</v>
      </c>
      <c r="C243" s="21">
        <f>IF(tips!E243="Thur",1,IF(tips!E243="Fri",2,IF(tips!E243="Sat",3,4)))</f>
        <v>3</v>
      </c>
      <c r="D243" s="23">
        <f>IF(tips!G243="Dinner",1,0)</f>
        <v>1</v>
      </c>
      <c r="E243" s="24">
        <v>2</v>
      </c>
      <c r="F243" s="24">
        <v>17.82</v>
      </c>
    </row>
    <row r="244" spans="1:6" x14ac:dyDescent="0.3">
      <c r="A244" s="17">
        <f>IF(tips!A244="Male",1,0)</f>
        <v>0</v>
      </c>
      <c r="B244" s="19">
        <f>IF(tips!C244="Yes",1,0)</f>
        <v>0</v>
      </c>
      <c r="C244" s="21">
        <f>IF(tips!E244="Thur",1,IF(tips!E244="Fri",2,IF(tips!E244="Sat",3,4)))</f>
        <v>1</v>
      </c>
      <c r="D244" s="23">
        <f>IF(tips!G244="Dinner",1,0)</f>
        <v>1</v>
      </c>
      <c r="E244" s="36">
        <v>2</v>
      </c>
      <c r="F244" s="36">
        <v>18.78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tips</vt:lpstr>
      <vt:lpstr>input 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Prerna Kalambe</cp:lastModifiedBy>
  <cp:revision/>
  <dcterms:created xsi:type="dcterms:W3CDTF">2021-10-26T16:10:41Z</dcterms:created>
  <dcterms:modified xsi:type="dcterms:W3CDTF">2025-11-27T07:26:39Z</dcterms:modified>
  <cp:category/>
  <cp:contentStatus/>
</cp:coreProperties>
</file>